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ric Dictionary" sheetId="1" state="visible" r:id="rId3"/>
    <sheet name="Daily Tracker" sheetId="2" state="hidden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<sst xmlns="http://schemas.openxmlformats.org/spreadsheetml/2006/main" count="291" uniqueCount="277">
  <si>
    <t xml:space="preserve">Category</t>
  </si>
  <si>
    <t xml:space="preserve">Metric</t>
  </si>
  <si>
    <t xml:space="preserve">Definition</t>
  </si>
  <si>
    <t xml:space="preserve">Primary Data Source (India F&amp;O)</t>
  </si>
  <si>
    <t xml:space="preserve">Price &amp; Basis</t>
  </si>
  <si>
    <t xml:space="preserve">Spot Price</t>
  </si>
  <si>
    <t xml:space="preserve">Current market price of the underlying asset in the cash market</t>
  </si>
  <si>
    <t xml:space="preserve">NSE India (nseindia.com) → Market Data → Equity; or broker terminal (Zerodha Kite, Sensibull)</t>
  </si>
  <si>
    <t xml:space="preserve">Futures Price</t>
  </si>
  <si>
    <t xml:space="preserve">Current traded price of the futures contract</t>
  </si>
  <si>
    <t xml:space="preserve">NSE India → Market Data → Equity Derivatives → Futures quote page</t>
  </si>
  <si>
    <t xml:space="preserve">Basis</t>
  </si>
  <si>
    <t xml:space="preserve">Futures Price minus Spot Price. Positive = premium (contango); Negative = discount (backwardation)</t>
  </si>
  <si>
    <t xml:space="preserve">Calculated (Futures Price − Spot Price), both from NSE India</t>
  </si>
  <si>
    <t xml:space="preserve">Basis Trend</t>
  </si>
  <si>
    <t xml:space="preserve">Whether basis is widening or converging as expiry approaches (should converge to zero at expiry)</t>
  </si>
  <si>
    <t xml:space="preserve">Calculated daily from NSE India basis values, tracked over time</t>
  </si>
  <si>
    <t xml:space="preserve">Fair Value / Theoretical Futures Price</t>
  </si>
  <si>
    <t xml:space="preserve">Spot x (1 + Risk-free rate x time/365) minus Dividends — what the futures price should theoretically be</t>
  </si>
  <si>
    <t xml:space="preserve">Calculated; risk-free rate from RBI repo rate / 91-day T-bill (rbi.org.in), dividend data from NSE corporate announcements</t>
  </si>
  <si>
    <t xml:space="preserve">Mispricing %</t>
  </si>
  <si>
    <t xml:space="preserve">(Actual Futures Price − Fair Value) / Fair Value — flags overpriced/underpriced contracts</t>
  </si>
  <si>
    <t xml:space="preserve">Calculated from Fair Value formula above</t>
  </si>
  <si>
    <t xml:space="preserve">Open Interest</t>
  </si>
  <si>
    <t xml:space="preserve">Open Interest (OI)</t>
  </si>
  <si>
    <t xml:space="preserve">Total number of outstanding (not yet squared-off) futures contracts</t>
  </si>
  <si>
    <t xml:space="preserve">NSE India → Market Data → Equity Derivatives → Open Interest; or nseindia.com/report-detail/fo_eq (Bhavcopy)</t>
  </si>
  <si>
    <t xml:space="preserve">OI Change (Δ OI)</t>
  </si>
  <si>
    <t xml:space="preserve">Change in OI vs previous session, shows fresh positions entering/exiting</t>
  </si>
  <si>
    <t xml:space="preserve">NSE India daily OI report (calculated vs previous day)</t>
  </si>
  <si>
    <t xml:space="preserve">Long Buildup</t>
  </si>
  <si>
    <t xml:space="preserve">Price up + OI up → new long positions being added (bullish)</t>
  </si>
  <si>
    <t xml:space="preserve">Derived from NSE OI + price data; also on Sensibull, Opstra, ChartInk 'OI gainers' screens</t>
  </si>
  <si>
    <t xml:space="preserve">Short Buildup</t>
  </si>
  <si>
    <t xml:space="preserve">Price down + OI up → new short positions being added (bearish)</t>
  </si>
  <si>
    <t xml:space="preserve">Same as above</t>
  </si>
  <si>
    <t xml:space="preserve">Short Covering</t>
  </si>
  <si>
    <t xml:space="preserve">Price up + OI down → shorts exiting positions (temporary bullish, not fresh conviction)</t>
  </si>
  <si>
    <t xml:space="preserve">Long Unwinding</t>
  </si>
  <si>
    <t xml:space="preserve">Price down + OI down → longs exiting positions (weak, not fresh bearish conviction)</t>
  </si>
  <si>
    <t xml:space="preserve">OI Concentration</t>
  </si>
  <si>
    <t xml:space="preserve">% of OI held in near-month vs far-month contracts — shows where activity is focused</t>
  </si>
  <si>
    <t xml:space="preserve">NSE India → Derivatives → Participant-wise OI / contract-wise OI breakup</t>
  </si>
  <si>
    <t xml:space="preserve">Volume</t>
  </si>
  <si>
    <t xml:space="preserve">Daily Traded Volume</t>
  </si>
  <si>
    <t xml:space="preserve">Number of contracts traded in a session</t>
  </si>
  <si>
    <t xml:space="preserve">NSE India Bhavcopy / Market Data → Equity Derivatives</t>
  </si>
  <si>
    <t xml:space="preserve">Volume vs Average Volume</t>
  </si>
  <si>
    <t xml:space="preserve">Current volume compared to 20/50-day average — confirms conviction behind a move</t>
  </si>
  <si>
    <t xml:space="preserve">Calculated from NSE historical volume data, or TradingView/ChartInk indicator</t>
  </si>
  <si>
    <t xml:space="preserve">Volume-OI Divergence</t>
  </si>
  <si>
    <t xml:space="preserve">High volume with flat/falling OI = intraday trading not positional buildup (weaker signal)</t>
  </si>
  <si>
    <t xml:space="preserve">Calculated by combining NSE volume + OI reports</t>
  </si>
  <si>
    <t xml:space="preserve">Rollover</t>
  </si>
  <si>
    <t xml:space="preserve">Rollover %</t>
  </si>
  <si>
    <t xml:space="preserve">% of current-month OI shifted to next-month contract as expiry nears</t>
  </si>
  <si>
    <t xml:space="preserve">NSE India → Derivatives → Rollover data (published from ~1 week before expiry); also Moneycontrol/Trendlyne rollover reports</t>
  </si>
  <si>
    <t xml:space="preserve">Market-Wide Rollover</t>
  </si>
  <si>
    <t xml:space="preserve">Average rollover % across all F&amp;O stocks/index — benchmark for comparison</t>
  </si>
  <si>
    <t xml:space="preserve">NSE India monthly rollover report; brokerage rollover reports (Motilal Oswal, ICICI Direct publish these free)</t>
  </si>
  <si>
    <t xml:space="preserve">Rollover Cost</t>
  </si>
  <si>
    <t xml:space="preserve">Premium paid to roll to next series; high cost + high rollover = strong conviction to carry position</t>
  </si>
  <si>
    <t xml:space="preserve">Calculated: (Next-month futures price − Current-month futures price), from NSE India</t>
  </si>
  <si>
    <t xml:space="preserve">Cost of Carry / Margin</t>
  </si>
  <si>
    <t xml:space="preserve">Cost of Carry</t>
  </si>
  <si>
    <t xml:space="preserve">Net cost of holding the underlying until expiry (interest cost minus dividend yield)</t>
  </si>
  <si>
    <t xml:space="preserve">Calculated using RBI repo/T-bill rate (rbi.org.in) and NSE dividend announcements</t>
  </si>
  <si>
    <t xml:space="preserve">SPAN Margin</t>
  </si>
  <si>
    <t xml:space="preserve">Exchange-mandated margin based on worst-case one-day loss scenario</t>
  </si>
  <si>
    <t xml:space="preserve">NSE India → NSE Clearing (NSE Clearing) SPAN margin calculator; or broker margin calculator (Zerodha, Upstox)</t>
  </si>
  <si>
    <t xml:space="preserve">Exposure Margin</t>
  </si>
  <si>
    <t xml:space="preserve">Additional margin over SPAN, covering extra volatility risk</t>
  </si>
  <si>
    <t xml:space="preserve">Same as SPAN — NSE Clearing margin calculator / broker margin calculator</t>
  </si>
  <si>
    <t xml:space="preserve">Margin Utilization %</t>
  </si>
  <si>
    <t xml:space="preserve">Margin blocked / total capital available — determines effective leverage</t>
  </si>
  <si>
    <t xml:space="preserve">Calculated from your own broker account (trading terminal / contract note)</t>
  </si>
  <si>
    <t xml:space="preserve">Mark-to-Market (MTM)</t>
  </si>
  <si>
    <t xml:space="preserve">Daily profit/loss settled on open futures positions</t>
  </si>
  <si>
    <t xml:space="preserve">Broker contract note / trading terminal (daily settlement report)</t>
  </si>
  <si>
    <t xml:space="preserve">Volatility</t>
  </si>
  <si>
    <t xml:space="preserve">Historical Volatility (HV)</t>
  </si>
  <si>
    <t xml:space="preserve">Standard deviation of past price returns, annualized — measures actual realized volatility</t>
  </si>
  <si>
    <t xml:space="preserve">Calculated from NSE historical price data, or available on Sensibull/Opstra</t>
  </si>
  <si>
    <t xml:space="preserve">Implied Volatility (IV)</t>
  </si>
  <si>
    <t xml:space="preserve">Market's forward-looking volatility estimate, derived from options prices on same underlying</t>
  </si>
  <si>
    <t xml:space="preserve">NSE India Option Chain page; Sensibull, Opstra, or Investing.com options data</t>
  </si>
  <si>
    <t xml:space="preserve">IV Percentile / IV Rank</t>
  </si>
  <si>
    <t xml:space="preserve">Where current IV sits relative to its own past 1-year range — high rank = elevated event risk priced in</t>
  </si>
  <si>
    <t xml:space="preserve">Sensibull IV Rank tool; Opstra Definedge</t>
  </si>
  <si>
    <t xml:space="preserve">ATR (Average True Range)</t>
  </si>
  <si>
    <t xml:space="preserve">Average daily price range over N periods (commonly 14) — used for stop-loss sizing</t>
  </si>
  <si>
    <t xml:space="preserve">TradingView, ChartInk, or calculated in Excel/Python from OHLC data (NSE historical data / Yahoo Finance)</t>
  </si>
  <si>
    <t xml:space="preserve">Trend &amp; Technicals</t>
  </si>
  <si>
    <t xml:space="preserve">Moving Averages (20/50/200 DMA)</t>
  </si>
  <si>
    <t xml:space="preserve">Average closing price over N days — used to gauge trend direction</t>
  </si>
  <si>
    <t xml:space="preserve">TradingView, ChartInk, Investing.com; or calculated from NSE historical price data</t>
  </si>
  <si>
    <t xml:space="preserve">RSI (Relative Strength Index)</t>
  </si>
  <si>
    <t xml:space="preserve">Momentum oscillator (0-100); above 70 overbought, below 30 oversold</t>
  </si>
  <si>
    <t xml:space="preserve">TradingView, ChartInk</t>
  </si>
  <si>
    <t xml:space="preserve">MACD</t>
  </si>
  <si>
    <t xml:space="preserve">Trend-following momentum indicator (difference of two EMAs + signal line)</t>
  </si>
  <si>
    <t xml:space="preserve">VWAP (Volume Weighted Average Price)</t>
  </si>
  <si>
    <t xml:space="preserve">Average price weighted by volume — intraday benchmark for entry/exit</t>
  </si>
  <si>
    <t xml:space="preserve">Broker trading terminal (Kite, Sensibull), TradingView</t>
  </si>
  <si>
    <t xml:space="preserve">Support/Resistance Levels</t>
  </si>
  <si>
    <t xml:space="preserve">Price zones where reversals/consolidation historically occurred</t>
  </si>
  <si>
    <t xml:space="preserve">Chart analysis — TradingView, ChartInk</t>
  </si>
  <si>
    <t xml:space="preserve">Sentiment / Market-Wide</t>
  </si>
  <si>
    <t xml:space="preserve">PCR (Put-Call Ratio)</t>
  </si>
  <si>
    <t xml:space="preserve">Put OI / Call OI — high PCR (&gt;1) signals bearish hedging/bullish contrarian; low PCR = bullish positioning</t>
  </si>
  <si>
    <t xml:space="preserve">NSE India → Option Chain page (PCR shown directly); Sensibull</t>
  </si>
  <si>
    <t xml:space="preserve">India VIX</t>
  </si>
  <si>
    <t xml:space="preserve">Market's expected volatility over next 30 days — high VIX = fear/uncertainty</t>
  </si>
  <si>
    <t xml:space="preserve">NSE India → India VIX page (live); nseindia.com/reports/indices</t>
  </si>
  <si>
    <t xml:space="preserve">FII/DII Futures Positioning</t>
  </si>
  <si>
    <t xml:space="preserve">Net long/short data of institutional players in index futures — proxy for smart money direction</t>
  </si>
  <si>
    <t xml:space="preserve">NSE India → Reports → FII &amp; DII trading activity; also published daily on Moneycontrol, NSDL</t>
  </si>
  <si>
    <t xml:space="preserve">Sector/Index Correlation</t>
  </si>
  <si>
    <t xml:space="preserve">How correlated the stock's move is with its sector index or benchmark</t>
  </si>
  <si>
    <t xml:space="preserve">Calculated (correlation formula) from NSE historical price data across stock + index</t>
  </si>
  <si>
    <t xml:space="preserve">Fundamental / Event</t>
  </si>
  <si>
    <t xml:space="preserve">Earnings Date</t>
  </si>
  <si>
    <t xml:space="preserve">Upcoming results date — volatility risk event</t>
  </si>
  <si>
    <t xml:space="preserve">NSE India corporate announcements; Screener.in, Moneycontrol earnings calendar</t>
  </si>
  <si>
    <t xml:space="preserve">Corporate Actions</t>
  </si>
  <si>
    <t xml:space="preserve">Dividends, bonus, splits — affect fair value and can trigger contract adjustments</t>
  </si>
  <si>
    <t xml:space="preserve">NSE India → Corporate Announcements / Corporate Actions page</t>
  </si>
  <si>
    <t xml:space="preserve">Macro Events</t>
  </si>
  <si>
    <t xml:space="preserve">RBI policy, Fed decisions, budget, inflation data — systemic volatility triggers</t>
  </si>
  <si>
    <t xml:space="preserve">RBI (rbi.org.in), Trading Economics economic calendar, Investing.com economic calendar</t>
  </si>
  <si>
    <t xml:space="preserve">F&amp;O Ban List Status</t>
  </si>
  <si>
    <t xml:space="preserve">Stock crossing 95% of Market-Wide Position Limit (MWPL) — no new positions allowed</t>
  </si>
  <si>
    <t xml:space="preserve">NSE India → Reports → Securities in Ban Period (published daily)</t>
  </si>
  <si>
    <t xml:space="preserve">Risk &amp; Position Sizing</t>
  </si>
  <si>
    <t xml:space="preserve">Risk per Trade (%)</t>
  </si>
  <si>
    <t xml:space="preserve">% of capital risked on a single trade (typically 1-2%)</t>
  </si>
  <si>
    <t xml:space="preserve">Self-defined rule (your trading plan)</t>
  </si>
  <si>
    <t xml:space="preserve">Position Size</t>
  </si>
  <si>
    <t xml:space="preserve">(Capital x Risk%) / (Entry − Stop Loss) — contracts to trade based on risk budget</t>
  </si>
  <si>
    <t xml:space="preserve">Calculated — see Daily Tracker sheet</t>
  </si>
  <si>
    <t xml:space="preserve">Risk-Reward Ratio (R:R)</t>
  </si>
  <si>
    <t xml:space="preserve">(Target − Entry) / (Entry − Stop Loss) — minimum acceptable is usually 1:2</t>
  </si>
  <si>
    <t xml:space="preserve">Leverage Ratio</t>
  </si>
  <si>
    <t xml:space="preserve">Contract Value / Margin Required — shows effective exposure multiple</t>
  </si>
  <si>
    <t xml:space="preserve">Calculated from NSE contract value + broker margin</t>
  </si>
  <si>
    <t xml:space="preserve">Max Drawdown Tolerance</t>
  </si>
  <si>
    <t xml:space="preserve">Maximum cumulative loss threshold before pausing/reassessing strategy</t>
  </si>
  <si>
    <t xml:space="preserve">Option Greeks</t>
  </si>
  <si>
    <t xml:space="preserve">Delta</t>
  </si>
  <si>
    <t xml:space="preserve">Change in option price for a 1-point move in the underlying (0 to 1 for calls, 0 to −1 for puts) — used to choose strikes and estimate P&amp;L per point</t>
  </si>
  <si>
    <t xml:space="preserve">Groww Trade API → Option Chain (Greeks); verify field on live account. Fallback: calculated via Black-Scholes from option price, spot, strike, days to expiry, IV</t>
  </si>
  <si>
    <t xml:space="preserve">Gamma</t>
  </si>
  <si>
    <t xml:space="preserve">Rate of change of Delta per 1-point move in the underlying — high near ATM and close to expiry, makes P&amp;L swing faster</t>
  </si>
  <si>
    <t xml:space="preserve">Groww Trade API → Option Chain (Greeks); verify field. Fallback: calculated via Black-Scholes</t>
  </si>
  <si>
    <t xml:space="preserve">Theta</t>
  </si>
  <si>
    <t xml:space="preserve">Option value lost per day purely from time passing (time decay) — the daily cost of holding a bought option; accelerates in the last weeks before expiry</t>
  </si>
  <si>
    <t xml:space="preserve">Vega</t>
  </si>
  <si>
    <t xml:space="preserve">Change in option price for a 1-point change in Implied Volatility — shows how much a fall in IV (IV crush) can hurt a bought option</t>
  </si>
  <si>
    <t xml:space="preserve">Option Pricing / IV Analysis</t>
  </si>
  <si>
    <t xml:space="preserve">IV vs HV (IV/HV Ratio)</t>
  </si>
  <si>
    <t xml:space="preserve">Implied Volatility ÷ Historical Volatility. Ratio well above 1 = options expensive (prefer spreads over plain buying); near/below 1 = options relatively cheap</t>
  </si>
  <si>
    <t xml:space="preserve">Calculated: IV from Groww Trade API (Quote / Option Chain); HV calculated from Groww Trade API historical candles</t>
  </si>
  <si>
    <t xml:space="preserve">Expected Move (ATM Straddle)</t>
  </si>
  <si>
    <t xml:space="preserve">Move the market has priced in until expiry ≈ ATM Call premium + ATM Put premium (or Spot × IV × √(Days to Expiry/365)). If target is smaller than expected move, the buy has poor odds</t>
  </si>
  <si>
    <t xml:space="preserve">Calculated from ATM call/put prices in Groww Trade API Option Chain</t>
  </si>
  <si>
    <t xml:space="preserve">IV Skew</t>
  </si>
  <si>
    <t xml:space="preserve">Difference in IV between equidistant OTM puts and OTM calls (e.g. 25-delta put IV − 25-delta call IV) — shows whether downside or upside protection is more expensive</t>
  </si>
  <si>
    <t xml:space="preserve">Calculated from strike-wise IV in Groww Trade API Option Chain</t>
  </si>
  <si>
    <t xml:space="preserve">Event IV Crush Risk</t>
  </si>
  <si>
    <t xml:space="preserve">Flag when a scheduled event (results, RBI, Budget, Fed) falls before planned exit — IV usually drops sharply after the event, reducing premium even if price moves in your favour</t>
  </si>
  <si>
    <t xml:space="preserve">Calculated: event calendar (NSE corporate announcements, RBI, economic calendar) + IV history stored daily from Groww</t>
  </si>
  <si>
    <t xml:space="preserve">IV History (Daily Store)</t>
  </si>
  <si>
    <t xml:space="preserve">Daily snapshot of ATM IV per instrument saved in our own database — required to compute IV Rank / IV Percentile (needs ~1 year of history)</t>
  </si>
  <si>
    <t xml:space="preserve">Self-collected daily from Groww Trade API Option Chain (Groww does not provide historical IV)</t>
  </si>
  <si>
    <t xml:space="preserve">Option Chain / Strike Selection</t>
  </si>
  <si>
    <t xml:space="preserve">Strike-wise OI</t>
  </si>
  <si>
    <t xml:space="preserve">Open interest at each strike for calls and puts — highest call OI strike often acts as resistance, highest put OI strike as support</t>
  </si>
  <si>
    <t xml:space="preserve">Groww Trade API → Option Chain</t>
  </si>
  <si>
    <t xml:space="preserve">Strike-wise OI Change</t>
  </si>
  <si>
    <t xml:space="preserve">Change in OI at each strike vs previous session — shows where fresh call/put writing or unwinding is happening</t>
  </si>
  <si>
    <t xml:space="preserve">Calculated from Groww Trade API Option Chain snapshots (stored daily)</t>
  </si>
  <si>
    <t xml:space="preserve">Max Pain</t>
  </si>
  <si>
    <t xml:space="preserve">Strike at which total value of outstanding calls + puts is lowest at expiry (maximum loss to option buyers) — context only, never a standalone signal</t>
  </si>
  <si>
    <t xml:space="preserve">Calculated from strike-wise OI in Groww Trade API Option Chain</t>
  </si>
  <si>
    <t xml:space="preserve">Days to Expiry (DTE)</t>
  </si>
  <si>
    <t xml:space="preserve">Calendar/trading days left until contract expiry — positional buys prefer ≥15–20 days at entry and exit before the last week</t>
  </si>
  <si>
    <t xml:space="preserve">Calculated from expiry date in Groww Trade API instruments list</t>
  </si>
  <si>
    <t xml:space="preserve">Option Liquidity (Bid-Ask Spread %)</t>
  </si>
  <si>
    <t xml:space="preserve">(Ask − Bid) ÷ Mid price × 100, plus minimum volume and OI at the strike — wide spreads or thin volume mean poor fills and costly exits</t>
  </si>
  <si>
    <t xml:space="preserve">Groww Trade API → Quote (market depth / bid-ask), Option Chain (volume, OI)</t>
  </si>
  <si>
    <t xml:space="preserve">Trend Strength &amp; Relative Strength</t>
  </si>
  <si>
    <t xml:space="preserve">ADX (Average Directional Index)</t>
  </si>
  <si>
    <t xml:space="preserve">Trend strength on a 0–100 scale (commonly 14 periods); above ~20–25 = trending, below = sideways. Measures strength only, not direction (use +DI/−DI for direction)</t>
  </si>
  <si>
    <t xml:space="preserve">Calculated from OHLC candles (Groww Trade API historical data)</t>
  </si>
  <si>
    <t xml:space="preserve">Weekly / Multi-Timeframe Trend</t>
  </si>
  <si>
    <t xml:space="preserve">Trend direction on weekly vs daily chart (e.g. price vs 20/50 EMA on each) — positional trades should align with the higher-timeframe trend</t>
  </si>
  <si>
    <t xml:space="preserve">Calculated from daily and weekly candles (Groww Trade API historical data)</t>
  </si>
  <si>
    <t xml:space="preserve">Relative Strength vs NIFTY</t>
  </si>
  <si>
    <t xml:space="preserve">Stock return ÷ NIFTY return over the same period (e.g. 20 days) — buy calls on the strongest, puts on the weakest names in the pool</t>
  </si>
  <si>
    <t xml:space="preserve">Calculated from Groww Trade API historical candles of stock and NIFTY</t>
  </si>
  <si>
    <t xml:space="preserve">Global / Macro Proxies</t>
  </si>
  <si>
    <t xml:space="preserve">GIFT Nifty</t>
  </si>
  <si>
    <t xml:space="preserve">NIFTY futures traded at NSE IX (GIFT City) outside Indian hours — early indication of the next day's opening gap</t>
  </si>
  <si>
    <t xml:space="preserve">Source to be verified (NSE IX data / authorized data vendor); not confirmed in Groww</t>
  </si>
  <si>
    <t xml:space="preserve">US Market Indices (S&amp;P 500 / Nasdaq)</t>
  </si>
  <si>
    <t xml:space="preserve">Overnight performance of US markets — affects Indian opening, especially IT stocks (INFY, TCS)</t>
  </si>
  <si>
    <t xml:space="preserve">Source to be verified (e.g. Twelve Data / Alpha Vantage free tier); not available in Groww</t>
  </si>
  <si>
    <t xml:space="preserve">Crude Oil (Brent)</t>
  </si>
  <si>
    <t xml:space="preserve">Global crude price and daily change — proxy for geopolitical risk; affects inflation, OMCs, paints, aviation and overall market sentiment</t>
  </si>
  <si>
    <t xml:space="preserve">Source to be verified (MCX via broker API, or global data API); check Groww commodity coverage</t>
  </si>
  <si>
    <t xml:space="preserve">USD/INR</t>
  </si>
  <si>
    <t xml:space="preserve">Rupee exchange rate and daily change — weak rupee often coincides with FII outflows; affects IT exporters</t>
  </si>
  <si>
    <t xml:space="preserve">Source to be verified (NSE currency derivatives via broker API, or RBI reference rate at rbi.org.in)</t>
  </si>
  <si>
    <t xml:space="preserve">US 10-Year Bond Yield</t>
  </si>
  <si>
    <t xml:space="preserve">Yield on US government bonds — rising yields typically pressure emerging-market equities and FII flows</t>
  </si>
  <si>
    <t xml:space="preserve">Source to be verified (global data API, e.g. Twelve Data / FRED)</t>
  </si>
  <si>
    <t xml:space="preserve">Option Trade Management</t>
  </si>
  <si>
    <t xml:space="preserve">Break-even Price</t>
  </si>
  <si>
    <t xml:space="preserve">Underlying level needed at expiry to avoid a loss: Call = Strike + Premium paid; Put = Strike − Premium paid (spreads: lower strike + net debit for bull call)</t>
  </si>
  <si>
    <t xml:space="preserve">Calculated from strike and premium (trade entry)</t>
  </si>
  <si>
    <t xml:space="preserve">Premium Stop-Loss</t>
  </si>
  <si>
    <t xml:space="preserve">Exit if option/spread value falls by a fixed % from entry (e.g. 30–40%) or if the underlying breaks the technical invalidation level</t>
  </si>
  <si>
    <t xml:space="preserve">Self-defined rule (strategy specification); monitored with live prices from Groww</t>
  </si>
  <si>
    <t xml:space="preserve">Time Stop</t>
  </si>
  <si>
    <t xml:space="preserve">Exit if the expected move has not happened within N trading days or before the last week of expiry — limits theta loss</t>
  </si>
  <si>
    <t xml:space="preserve">Self-defined rule (strategy specification)</t>
  </si>
  <si>
    <t xml:space="preserve">Trailing Stop</t>
  </si>
  <si>
    <t xml:space="preserve">Stop that moves in your favour as the trade profits (e.g. underlying ATR-based or % of peak premium) — locks in gains</t>
  </si>
  <si>
    <t xml:space="preserve">Self-defined rule; calculated from ATR and live prices</t>
  </si>
  <si>
    <t xml:space="preserve">Spread Max Profit / Max Loss</t>
  </si>
  <si>
    <t xml:space="preserve">Debit spread: Max loss = net premium paid; Max profit = (strike difference − net premium) × lot size — known before entry</t>
  </si>
  <si>
    <t xml:space="preserve">Calculated from spread strikes, premiums and lot size (Groww instruments list)</t>
  </si>
  <si>
    <t xml:space="preserve">Transaction Costs &amp; Slippage</t>
  </si>
  <si>
    <t xml:space="preserve">Brokerage, STT, exchange charges, SEBI fee, stamp duty, GST + estimated slippage per trade — deducted for realistic backtest and paper-trade P&amp;L</t>
  </si>
  <si>
    <t xml:space="preserve">Groww brokerage/charges page and contract notes; slippage estimated from bid-ask spread</t>
  </si>
  <si>
    <t xml:space="preserve">Portfolio Risk Controls</t>
  </si>
  <si>
    <t xml:space="preserve">Max Open Positions</t>
  </si>
  <si>
    <t xml:space="preserve">Maximum number of trades open at the same time (e.g. 2 with ₹1 lakh capital)</t>
  </si>
  <si>
    <t xml:space="preserve">Correlated Exposure Limit</t>
  </si>
  <si>
    <t xml:space="preserve">Limit on same-direction trades in highly correlated instruments (e.g. BANKNIFTY + HDFCBANK + ICICIBANK + SBIN + AXISBANK count as one bet)</t>
  </si>
  <si>
    <t xml:space="preserve">Calculated: correlation from historical prices + self-defined limit</t>
  </si>
  <si>
    <t xml:space="preserve">Monthly Loss Limit</t>
  </si>
  <si>
    <t xml:space="preserve">Maximum loss allowed in a calendar month (e.g. ₹10,000); if hit, stop trading for the month and review</t>
  </si>
  <si>
    <t xml:space="preserve">Data Quality</t>
  </si>
  <si>
    <t xml:space="preserve">Data Freshness / Staleness</t>
  </si>
  <si>
    <t xml:space="preserve">Time since last data update vs expected update interval — stale data blocks signal generation (result = NO TRADE)</t>
  </si>
  <si>
    <t xml:space="preserve">Calculated: provider timestamp vs ingestion timestamp (system log)</t>
  </si>
  <si>
    <t xml:space="preserve">Missing / Duplicate Candle Check</t>
  </si>
  <si>
    <t xml:space="preserve">Detects gaps in the expected candle sequence (respecting market hours and holidays) and repeated candles for the same timestamp</t>
  </si>
  <si>
    <t xml:space="preserve">Calculated during ingestion (system validation)</t>
  </si>
  <si>
    <t xml:space="preserve">Invalid OHLC Check</t>
  </si>
  <si>
    <t xml:space="preserve">Flags candles where High &lt; max(Open, Close), Low &gt; min(Open, Close), or values are zero/negative — missing values stay missing, never replaced with zero</t>
  </si>
  <si>
    <t xml:space="preserve">Instrument &amp; Expiry Mapping Check</t>
  </si>
  <si>
    <t xml:space="preserve">Confirms each contract's symbol, expiry, strike and lot size match the latest provider instrument list — never mixes different expiries in one series</t>
  </si>
  <si>
    <t xml:space="preserve">Validated against Groww Trade API instruments list (refreshed daily)</t>
  </si>
  <si>
    <t xml:space="preserve">Legend: Yellow cells = fill in daily/per trade. White formula cells auto-calculate. One example row (row 3) shown below — delete before use.</t>
  </si>
  <si>
    <t xml:space="preserve">Date</t>
  </si>
  <si>
    <t xml:space="preserve">Symbol</t>
  </si>
  <si>
    <t xml:space="preserve">Basis (auto)</t>
  </si>
  <si>
    <t xml:space="preserve">OI (Today)</t>
  </si>
  <si>
    <t xml:space="preserve">OI (Prev Day)</t>
  </si>
  <si>
    <t xml:space="preserve">Δ OI (auto)</t>
  </si>
  <si>
    <t xml:space="preserve">OI Signal (auto)</t>
  </si>
  <si>
    <t xml:space="preserve">Avg Volume (20D)</t>
  </si>
  <si>
    <t xml:space="preserve">RSI</t>
  </si>
  <si>
    <t xml:space="preserve">ATR (14)</t>
  </si>
  <si>
    <t xml:space="preserve">IV %</t>
  </si>
  <si>
    <t xml:space="preserve">PCR</t>
  </si>
  <si>
    <t xml:space="preserve">Entry Price</t>
  </si>
  <si>
    <t xml:space="preserve">Stop Loss</t>
  </si>
  <si>
    <t xml:space="preserve">Target</t>
  </si>
  <si>
    <t xml:space="preserve">R:R (auto)</t>
  </si>
  <si>
    <t xml:space="preserve">Capital (₹)</t>
  </si>
  <si>
    <t xml:space="preserve">Risk % per Trade</t>
  </si>
  <si>
    <t xml:space="preserve">Position Size / Lots (auto)</t>
  </si>
  <si>
    <t xml:space="preserve">2026-08-25</t>
  </si>
  <si>
    <t xml:space="preserve">RELIANCE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</si>
</sst>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2"/>
      <charset val="1"/>
    </font>
    <font>
      <b val="true"/>
      <sz val="10"/>
      <name val="Arial"/>
      <family val="2"/>
      <charset val="1"/>
    </font>
    <font>
      <sz val="9"/>
      <name val="Arial"/>
      <family val="2"/>
      <charset val="1"/>
    </font>
    <font>
      <i val="true"/>
      <sz val="9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theme="0" tint="-0.15"/>
        <bgColor rgb="FFBFBFBF"/>
      </patternFill>
    </fill>
    <fill>
      <patternFill patternType="solid">
        <fgColor theme="0"/>
        <bgColor rgb="FFFFFDE7"/>
      </patternFill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FFFDE7"/>
        <bgColor rgb="FFFFFFFF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5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4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9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4" borderId="1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7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82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1" activeCellId="0" sqref="C1"/>
    </sheetView>
  </sheetViews>
  <sheetFormatPr defaultColWidth="8.6328125" defaultRowHeight="14.2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0" width="28"/>
    <col collapsed="false" customWidth="true" hidden="false" outlineLevel="0" max="3" min="3" style="0" width="86.45"/>
    <col collapsed="false" customWidth="true" hidden="false" outlineLevel="0" max="4" min="4" style="0" width="92.27"/>
  </cols>
  <sheetData>
    <row r="1" customFormat="false" ht="22.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</row>
    <row r="2" s="7" customFormat="true" ht="22.5" hidden="false" customHeight="true" outlineLevel="0" collapsed="false">
      <c r="A2" s="3" t="s">
        <v>4</v>
      </c>
      <c r="B2" s="4" t="s">
        <v>5</v>
      </c>
      <c r="C2" s="5" t="s">
        <v>6</v>
      </c>
      <c r="D2" s="6" t="s">
        <v>7</v>
      </c>
    </row>
    <row r="3" s="7" customFormat="true" ht="22.5" hidden="false" customHeight="true" outlineLevel="0" collapsed="false">
      <c r="A3" s="3"/>
      <c r="B3" s="8" t="s">
        <v>8</v>
      </c>
      <c r="C3" s="9" t="s">
        <v>9</v>
      </c>
      <c r="D3" s="10" t="s">
        <v>10</v>
      </c>
    </row>
    <row r="4" s="7" customFormat="true" ht="22.5" hidden="false" customHeight="true" outlineLevel="0" collapsed="false">
      <c r="A4" s="3"/>
      <c r="B4" s="8" t="s">
        <v>11</v>
      </c>
      <c r="C4" s="9" t="s">
        <v>12</v>
      </c>
      <c r="D4" s="10" t="s">
        <v>13</v>
      </c>
    </row>
    <row r="5" s="7" customFormat="true" ht="22.5" hidden="false" customHeight="true" outlineLevel="0" collapsed="false">
      <c r="A5" s="3"/>
      <c r="B5" s="8" t="s">
        <v>14</v>
      </c>
      <c r="C5" s="9" t="s">
        <v>15</v>
      </c>
      <c r="D5" s="10" t="s">
        <v>16</v>
      </c>
    </row>
    <row r="6" s="7" customFormat="true" ht="22.5" hidden="false" customHeight="true" outlineLevel="0" collapsed="false">
      <c r="A6" s="3"/>
      <c r="B6" s="8" t="s">
        <v>17</v>
      </c>
      <c r="C6" s="9" t="s">
        <v>18</v>
      </c>
      <c r="D6" s="10" t="s">
        <v>19</v>
      </c>
    </row>
    <row r="7" s="7" customFormat="true" ht="22.5" hidden="false" customHeight="true" outlineLevel="0" collapsed="false">
      <c r="A7" s="3"/>
      <c r="B7" s="11" t="s">
        <v>20</v>
      </c>
      <c r="C7" s="12" t="s">
        <v>21</v>
      </c>
      <c r="D7" s="13" t="s">
        <v>22</v>
      </c>
    </row>
    <row r="8" s="7" customFormat="true" ht="22.5" hidden="false" customHeight="true" outlineLevel="0" collapsed="false">
      <c r="A8" s="3" t="s">
        <v>23</v>
      </c>
      <c r="B8" s="4" t="s">
        <v>24</v>
      </c>
      <c r="C8" s="5" t="s">
        <v>25</v>
      </c>
      <c r="D8" s="6" t="s">
        <v>26</v>
      </c>
    </row>
    <row r="9" s="7" customFormat="true" ht="22.5" hidden="false" customHeight="true" outlineLevel="0" collapsed="false">
      <c r="A9" s="3"/>
      <c r="B9" s="8" t="s">
        <v>27</v>
      </c>
      <c r="C9" s="9" t="s">
        <v>28</v>
      </c>
      <c r="D9" s="10" t="s">
        <v>29</v>
      </c>
    </row>
    <row r="10" s="7" customFormat="true" ht="22.5" hidden="false" customHeight="true" outlineLevel="0" collapsed="false">
      <c r="A10" s="3"/>
      <c r="B10" s="8" t="s">
        <v>30</v>
      </c>
      <c r="C10" s="9" t="s">
        <v>31</v>
      </c>
      <c r="D10" s="10" t="s">
        <v>32</v>
      </c>
    </row>
    <row r="11" s="7" customFormat="true" ht="22.5" hidden="false" customHeight="true" outlineLevel="0" collapsed="false">
      <c r="A11" s="3"/>
      <c r="B11" s="8" t="s">
        <v>33</v>
      </c>
      <c r="C11" s="9" t="s">
        <v>34</v>
      </c>
      <c r="D11" s="10" t="s">
        <v>35</v>
      </c>
    </row>
    <row r="12" s="7" customFormat="true" ht="22.5" hidden="false" customHeight="true" outlineLevel="0" collapsed="false">
      <c r="A12" s="3"/>
      <c r="B12" s="8" t="s">
        <v>36</v>
      </c>
      <c r="C12" s="9" t="s">
        <v>37</v>
      </c>
      <c r="D12" s="10" t="s">
        <v>35</v>
      </c>
    </row>
    <row r="13" s="7" customFormat="true" ht="22.5" hidden="false" customHeight="true" outlineLevel="0" collapsed="false">
      <c r="A13" s="3"/>
      <c r="B13" s="8" t="s">
        <v>38</v>
      </c>
      <c r="C13" s="9" t="s">
        <v>39</v>
      </c>
      <c r="D13" s="10" t="s">
        <v>35</v>
      </c>
    </row>
    <row r="14" s="7" customFormat="true" ht="22.5" hidden="false" customHeight="true" outlineLevel="0" collapsed="false">
      <c r="A14" s="3"/>
      <c r="B14" s="11" t="s">
        <v>40</v>
      </c>
      <c r="C14" s="12" t="s">
        <v>41</v>
      </c>
      <c r="D14" s="13" t="s">
        <v>42</v>
      </c>
    </row>
    <row r="15" s="7" customFormat="true" ht="22.5" hidden="false" customHeight="true" outlineLevel="0" collapsed="false">
      <c r="A15" s="3" t="s">
        <v>43</v>
      </c>
      <c r="B15" s="4" t="s">
        <v>44</v>
      </c>
      <c r="C15" s="5" t="s">
        <v>45</v>
      </c>
      <c r="D15" s="6" t="s">
        <v>46</v>
      </c>
    </row>
    <row r="16" s="7" customFormat="true" ht="22.5" hidden="false" customHeight="true" outlineLevel="0" collapsed="false">
      <c r="A16" s="3"/>
      <c r="B16" s="8" t="s">
        <v>47</v>
      </c>
      <c r="C16" s="9" t="s">
        <v>48</v>
      </c>
      <c r="D16" s="10" t="s">
        <v>49</v>
      </c>
    </row>
    <row r="17" s="7" customFormat="true" ht="22.5" hidden="false" customHeight="true" outlineLevel="0" collapsed="false">
      <c r="A17" s="3"/>
      <c r="B17" s="11" t="s">
        <v>50</v>
      </c>
      <c r="C17" s="12" t="s">
        <v>51</v>
      </c>
      <c r="D17" s="13" t="s">
        <v>52</v>
      </c>
    </row>
    <row r="18" s="7" customFormat="true" ht="22.5" hidden="false" customHeight="true" outlineLevel="0" collapsed="false">
      <c r="A18" s="3" t="s">
        <v>53</v>
      </c>
      <c r="B18" s="4" t="s">
        <v>54</v>
      </c>
      <c r="C18" s="5" t="s">
        <v>55</v>
      </c>
      <c r="D18" s="6" t="s">
        <v>56</v>
      </c>
    </row>
    <row r="19" s="7" customFormat="true" ht="22.5" hidden="false" customHeight="true" outlineLevel="0" collapsed="false">
      <c r="A19" s="3"/>
      <c r="B19" s="8" t="s">
        <v>57</v>
      </c>
      <c r="C19" s="9" t="s">
        <v>58</v>
      </c>
      <c r="D19" s="10" t="s">
        <v>59</v>
      </c>
    </row>
    <row r="20" s="7" customFormat="true" ht="22.5" hidden="false" customHeight="true" outlineLevel="0" collapsed="false">
      <c r="A20" s="3"/>
      <c r="B20" s="11" t="s">
        <v>60</v>
      </c>
      <c r="C20" s="12" t="s">
        <v>61</v>
      </c>
      <c r="D20" s="13" t="s">
        <v>62</v>
      </c>
    </row>
    <row r="21" s="7" customFormat="true" ht="22.5" hidden="false" customHeight="true" outlineLevel="0" collapsed="false">
      <c r="A21" s="3" t="s">
        <v>63</v>
      </c>
      <c r="B21" s="4" t="s">
        <v>64</v>
      </c>
      <c r="C21" s="5" t="s">
        <v>65</v>
      </c>
      <c r="D21" s="6" t="s">
        <v>66</v>
      </c>
    </row>
    <row r="22" s="7" customFormat="true" ht="22.5" hidden="false" customHeight="true" outlineLevel="0" collapsed="false">
      <c r="A22" s="3"/>
      <c r="B22" s="8" t="s">
        <v>67</v>
      </c>
      <c r="C22" s="9" t="s">
        <v>68</v>
      </c>
      <c r="D22" s="10" t="s">
        <v>69</v>
      </c>
    </row>
    <row r="23" s="7" customFormat="true" ht="22.5" hidden="false" customHeight="true" outlineLevel="0" collapsed="false">
      <c r="A23" s="3"/>
      <c r="B23" s="8" t="s">
        <v>70</v>
      </c>
      <c r="C23" s="9" t="s">
        <v>71</v>
      </c>
      <c r="D23" s="10" t="s">
        <v>72</v>
      </c>
    </row>
    <row r="24" s="7" customFormat="true" ht="22.5" hidden="false" customHeight="true" outlineLevel="0" collapsed="false">
      <c r="A24" s="3"/>
      <c r="B24" s="8" t="s">
        <v>73</v>
      </c>
      <c r="C24" s="9" t="s">
        <v>74</v>
      </c>
      <c r="D24" s="10" t="s">
        <v>75</v>
      </c>
    </row>
    <row r="25" s="7" customFormat="true" ht="22.5" hidden="false" customHeight="true" outlineLevel="0" collapsed="false">
      <c r="A25" s="3"/>
      <c r="B25" s="11" t="s">
        <v>76</v>
      </c>
      <c r="C25" s="12" t="s">
        <v>77</v>
      </c>
      <c r="D25" s="13" t="s">
        <v>78</v>
      </c>
    </row>
    <row r="26" s="7" customFormat="true" ht="22.5" hidden="false" customHeight="true" outlineLevel="0" collapsed="false">
      <c r="A26" s="3" t="s">
        <v>79</v>
      </c>
      <c r="B26" s="4" t="s">
        <v>80</v>
      </c>
      <c r="C26" s="5" t="s">
        <v>81</v>
      </c>
      <c r="D26" s="6" t="s">
        <v>82</v>
      </c>
    </row>
    <row r="27" s="7" customFormat="true" ht="22.5" hidden="false" customHeight="true" outlineLevel="0" collapsed="false">
      <c r="A27" s="3"/>
      <c r="B27" s="8" t="s">
        <v>83</v>
      </c>
      <c r="C27" s="9" t="s">
        <v>84</v>
      </c>
      <c r="D27" s="10" t="s">
        <v>85</v>
      </c>
    </row>
    <row r="28" s="7" customFormat="true" ht="22.5" hidden="false" customHeight="true" outlineLevel="0" collapsed="false">
      <c r="A28" s="3"/>
      <c r="B28" s="8" t="s">
        <v>86</v>
      </c>
      <c r="C28" s="9" t="s">
        <v>87</v>
      </c>
      <c r="D28" s="10" t="s">
        <v>88</v>
      </c>
    </row>
    <row r="29" s="7" customFormat="true" ht="22.5" hidden="false" customHeight="true" outlineLevel="0" collapsed="false">
      <c r="A29" s="3"/>
      <c r="B29" s="11" t="s">
        <v>89</v>
      </c>
      <c r="C29" s="12" t="s">
        <v>90</v>
      </c>
      <c r="D29" s="13" t="s">
        <v>91</v>
      </c>
    </row>
    <row r="30" s="7" customFormat="true" ht="22.5" hidden="false" customHeight="true" outlineLevel="0" collapsed="false">
      <c r="A30" s="3" t="s">
        <v>92</v>
      </c>
      <c r="B30" s="4" t="s">
        <v>93</v>
      </c>
      <c r="C30" s="5" t="s">
        <v>94</v>
      </c>
      <c r="D30" s="6" t="s">
        <v>95</v>
      </c>
    </row>
    <row r="31" s="7" customFormat="true" ht="22.5" hidden="false" customHeight="true" outlineLevel="0" collapsed="false">
      <c r="A31" s="3"/>
      <c r="B31" s="8" t="s">
        <v>96</v>
      </c>
      <c r="C31" s="9" t="s">
        <v>97</v>
      </c>
      <c r="D31" s="10" t="s">
        <v>98</v>
      </c>
    </row>
    <row r="32" s="7" customFormat="true" ht="22.5" hidden="false" customHeight="true" outlineLevel="0" collapsed="false">
      <c r="A32" s="3"/>
      <c r="B32" s="8" t="s">
        <v>99</v>
      </c>
      <c r="C32" s="9" t="s">
        <v>100</v>
      </c>
      <c r="D32" s="10" t="s">
        <v>98</v>
      </c>
    </row>
    <row r="33" s="7" customFormat="true" ht="22.5" hidden="false" customHeight="true" outlineLevel="0" collapsed="false">
      <c r="A33" s="3"/>
      <c r="B33" s="8" t="s">
        <v>101</v>
      </c>
      <c r="C33" s="9" t="s">
        <v>102</v>
      </c>
      <c r="D33" s="10" t="s">
        <v>103</v>
      </c>
    </row>
    <row r="34" s="7" customFormat="true" ht="22.5" hidden="false" customHeight="true" outlineLevel="0" collapsed="false">
      <c r="A34" s="3"/>
      <c r="B34" s="11" t="s">
        <v>104</v>
      </c>
      <c r="C34" s="12" t="s">
        <v>105</v>
      </c>
      <c r="D34" s="13" t="s">
        <v>106</v>
      </c>
    </row>
    <row r="35" s="7" customFormat="true" ht="22.5" hidden="false" customHeight="true" outlineLevel="0" collapsed="false">
      <c r="A35" s="3" t="s">
        <v>107</v>
      </c>
      <c r="B35" s="4" t="s">
        <v>108</v>
      </c>
      <c r="C35" s="5" t="s">
        <v>109</v>
      </c>
      <c r="D35" s="6" t="s">
        <v>110</v>
      </c>
    </row>
    <row r="36" s="7" customFormat="true" ht="22.5" hidden="false" customHeight="true" outlineLevel="0" collapsed="false">
      <c r="A36" s="3"/>
      <c r="B36" s="8" t="s">
        <v>111</v>
      </c>
      <c r="C36" s="9" t="s">
        <v>112</v>
      </c>
      <c r="D36" s="10" t="s">
        <v>113</v>
      </c>
    </row>
    <row r="37" s="7" customFormat="true" ht="22.5" hidden="false" customHeight="true" outlineLevel="0" collapsed="false">
      <c r="A37" s="3"/>
      <c r="B37" s="8" t="s">
        <v>114</v>
      </c>
      <c r="C37" s="9" t="s">
        <v>115</v>
      </c>
      <c r="D37" s="10" t="s">
        <v>116</v>
      </c>
    </row>
    <row r="38" s="7" customFormat="true" ht="22.5" hidden="false" customHeight="true" outlineLevel="0" collapsed="false">
      <c r="A38" s="3"/>
      <c r="B38" s="11" t="s">
        <v>117</v>
      </c>
      <c r="C38" s="12" t="s">
        <v>118</v>
      </c>
      <c r="D38" s="13" t="s">
        <v>119</v>
      </c>
    </row>
    <row r="39" s="7" customFormat="true" ht="22.5" hidden="false" customHeight="true" outlineLevel="0" collapsed="false">
      <c r="A39" s="3" t="s">
        <v>120</v>
      </c>
      <c r="B39" s="4" t="s">
        <v>121</v>
      </c>
      <c r="C39" s="5" t="s">
        <v>122</v>
      </c>
      <c r="D39" s="6" t="s">
        <v>123</v>
      </c>
    </row>
    <row r="40" s="7" customFormat="true" ht="22.5" hidden="false" customHeight="true" outlineLevel="0" collapsed="false">
      <c r="A40" s="3"/>
      <c r="B40" s="8" t="s">
        <v>124</v>
      </c>
      <c r="C40" s="9" t="s">
        <v>125</v>
      </c>
      <c r="D40" s="10" t="s">
        <v>126</v>
      </c>
    </row>
    <row r="41" s="7" customFormat="true" ht="22.5" hidden="false" customHeight="true" outlineLevel="0" collapsed="false">
      <c r="A41" s="3"/>
      <c r="B41" s="8" t="s">
        <v>127</v>
      </c>
      <c r="C41" s="9" t="s">
        <v>128</v>
      </c>
      <c r="D41" s="10" t="s">
        <v>129</v>
      </c>
    </row>
    <row r="42" s="7" customFormat="true" ht="22.5" hidden="false" customHeight="true" outlineLevel="0" collapsed="false">
      <c r="A42" s="3"/>
      <c r="B42" s="11" t="s">
        <v>130</v>
      </c>
      <c r="C42" s="12" t="s">
        <v>131</v>
      </c>
      <c r="D42" s="13" t="s">
        <v>132</v>
      </c>
    </row>
    <row r="43" s="7" customFormat="true" ht="22.5" hidden="false" customHeight="true" outlineLevel="0" collapsed="false">
      <c r="A43" s="3" t="s">
        <v>133</v>
      </c>
      <c r="B43" s="4" t="s">
        <v>134</v>
      </c>
      <c r="C43" s="5" t="s">
        <v>135</v>
      </c>
      <c r="D43" s="6" t="s">
        <v>136</v>
      </c>
    </row>
    <row r="44" s="7" customFormat="true" ht="22.5" hidden="false" customHeight="true" outlineLevel="0" collapsed="false">
      <c r="A44" s="3"/>
      <c r="B44" s="8" t="s">
        <v>137</v>
      </c>
      <c r="C44" s="9" t="s">
        <v>138</v>
      </c>
      <c r="D44" s="10" t="s">
        <v>139</v>
      </c>
    </row>
    <row r="45" s="7" customFormat="true" ht="22.5" hidden="false" customHeight="true" outlineLevel="0" collapsed="false">
      <c r="A45" s="3"/>
      <c r="B45" s="8" t="s">
        <v>140</v>
      </c>
      <c r="C45" s="9" t="s">
        <v>141</v>
      </c>
      <c r="D45" s="10" t="s">
        <v>139</v>
      </c>
    </row>
    <row r="46" s="7" customFormat="true" ht="22.5" hidden="false" customHeight="true" outlineLevel="0" collapsed="false">
      <c r="A46" s="3"/>
      <c r="B46" s="8" t="s">
        <v>142</v>
      </c>
      <c r="C46" s="9" t="s">
        <v>143</v>
      </c>
      <c r="D46" s="10" t="s">
        <v>144</v>
      </c>
    </row>
    <row r="47" s="7" customFormat="true" ht="22.5" hidden="false" customHeight="true" outlineLevel="0" collapsed="false">
      <c r="A47" s="3"/>
      <c r="B47" s="11" t="s">
        <v>145</v>
      </c>
      <c r="C47" s="12" t="s">
        <v>146</v>
      </c>
      <c r="D47" s="13" t="s">
        <v>136</v>
      </c>
    </row>
    <row r="48" customFormat="false" ht="22.5" hidden="false" customHeight="true" outlineLevel="0" collapsed="false">
      <c r="A48" s="3" t="s">
        <v>147</v>
      </c>
      <c r="B48" s="4" t="s">
        <v>148</v>
      </c>
      <c r="C48" s="5" t="s">
        <v>149</v>
      </c>
      <c r="D48" s="6" t="s">
        <v>150</v>
      </c>
    </row>
    <row r="49" customFormat="false" ht="22.5" hidden="false" customHeight="true" outlineLevel="0" collapsed="false">
      <c r="A49" s="3"/>
      <c r="B49" s="8" t="s">
        <v>151</v>
      </c>
      <c r="C49" s="9" t="s">
        <v>152</v>
      </c>
      <c r="D49" s="10" t="s">
        <v>153</v>
      </c>
    </row>
    <row r="50" customFormat="false" ht="22.5" hidden="false" customHeight="true" outlineLevel="0" collapsed="false">
      <c r="A50" s="3"/>
      <c r="B50" s="8" t="s">
        <v>154</v>
      </c>
      <c r="C50" s="9" t="s">
        <v>155</v>
      </c>
      <c r="D50" s="10" t="s">
        <v>153</v>
      </c>
    </row>
    <row r="51" customFormat="false" ht="22.5" hidden="false" customHeight="true" outlineLevel="0" collapsed="false">
      <c r="A51" s="3"/>
      <c r="B51" s="11" t="s">
        <v>156</v>
      </c>
      <c r="C51" s="12" t="s">
        <v>157</v>
      </c>
      <c r="D51" s="13" t="s">
        <v>153</v>
      </c>
    </row>
    <row r="52" customFormat="false" ht="22.5" hidden="false" customHeight="true" outlineLevel="0" collapsed="false">
      <c r="A52" s="3" t="s">
        <v>158</v>
      </c>
      <c r="B52" s="4" t="s">
        <v>159</v>
      </c>
      <c r="C52" s="5" t="s">
        <v>160</v>
      </c>
      <c r="D52" s="6" t="s">
        <v>161</v>
      </c>
    </row>
    <row r="53" customFormat="false" ht="22.5" hidden="false" customHeight="true" outlineLevel="0" collapsed="false">
      <c r="A53" s="3"/>
      <c r="B53" s="8" t="s">
        <v>162</v>
      </c>
      <c r="C53" s="9" t="s">
        <v>163</v>
      </c>
      <c r="D53" s="10" t="s">
        <v>164</v>
      </c>
    </row>
    <row r="54" customFormat="false" ht="22.5" hidden="false" customHeight="true" outlineLevel="0" collapsed="false">
      <c r="A54" s="3"/>
      <c r="B54" s="8" t="s">
        <v>165</v>
      </c>
      <c r="C54" s="9" t="s">
        <v>166</v>
      </c>
      <c r="D54" s="10" t="s">
        <v>167</v>
      </c>
    </row>
    <row r="55" customFormat="false" ht="22.5" hidden="false" customHeight="true" outlineLevel="0" collapsed="false">
      <c r="A55" s="3"/>
      <c r="B55" s="8" t="s">
        <v>168</v>
      </c>
      <c r="C55" s="9" t="s">
        <v>169</v>
      </c>
      <c r="D55" s="10" t="s">
        <v>170</v>
      </c>
    </row>
    <row r="56" customFormat="false" ht="22.5" hidden="false" customHeight="true" outlineLevel="0" collapsed="false">
      <c r="A56" s="3"/>
      <c r="B56" s="11" t="s">
        <v>171</v>
      </c>
      <c r="C56" s="12" t="s">
        <v>172</v>
      </c>
      <c r="D56" s="13" t="s">
        <v>173</v>
      </c>
    </row>
    <row r="57" customFormat="false" ht="22.5" hidden="false" customHeight="true" outlineLevel="0" collapsed="false">
      <c r="A57" s="3" t="s">
        <v>174</v>
      </c>
      <c r="B57" s="4" t="s">
        <v>175</v>
      </c>
      <c r="C57" s="5" t="s">
        <v>176</v>
      </c>
      <c r="D57" s="6" t="s">
        <v>177</v>
      </c>
    </row>
    <row r="58" customFormat="false" ht="22.5" hidden="false" customHeight="true" outlineLevel="0" collapsed="false">
      <c r="A58" s="3"/>
      <c r="B58" s="8" t="s">
        <v>178</v>
      </c>
      <c r="C58" s="9" t="s">
        <v>179</v>
      </c>
      <c r="D58" s="10" t="s">
        <v>180</v>
      </c>
    </row>
    <row r="59" customFormat="false" ht="22.5" hidden="false" customHeight="true" outlineLevel="0" collapsed="false">
      <c r="A59" s="3"/>
      <c r="B59" s="8" t="s">
        <v>181</v>
      </c>
      <c r="C59" s="9" t="s">
        <v>182</v>
      </c>
      <c r="D59" s="10" t="s">
        <v>183</v>
      </c>
    </row>
    <row r="60" customFormat="false" ht="22.5" hidden="false" customHeight="true" outlineLevel="0" collapsed="false">
      <c r="A60" s="3"/>
      <c r="B60" s="8" t="s">
        <v>184</v>
      </c>
      <c r="C60" s="9" t="s">
        <v>185</v>
      </c>
      <c r="D60" s="10" t="s">
        <v>186</v>
      </c>
    </row>
    <row r="61" customFormat="false" ht="22.5" hidden="false" customHeight="true" outlineLevel="0" collapsed="false">
      <c r="A61" s="3"/>
      <c r="B61" s="11" t="s">
        <v>187</v>
      </c>
      <c r="C61" s="12" t="s">
        <v>188</v>
      </c>
      <c r="D61" s="13" t="s">
        <v>189</v>
      </c>
    </row>
    <row r="62" customFormat="false" ht="22.5" hidden="false" customHeight="true" outlineLevel="0" collapsed="false">
      <c r="A62" s="3" t="s">
        <v>190</v>
      </c>
      <c r="B62" s="4" t="s">
        <v>191</v>
      </c>
      <c r="C62" s="5" t="s">
        <v>192</v>
      </c>
      <c r="D62" s="6" t="s">
        <v>193</v>
      </c>
    </row>
    <row r="63" customFormat="false" ht="22.5" hidden="false" customHeight="true" outlineLevel="0" collapsed="false">
      <c r="A63" s="3"/>
      <c r="B63" s="8" t="s">
        <v>194</v>
      </c>
      <c r="C63" s="9" t="s">
        <v>195</v>
      </c>
      <c r="D63" s="10" t="s">
        <v>196</v>
      </c>
    </row>
    <row r="64" customFormat="false" ht="22.5" hidden="false" customHeight="true" outlineLevel="0" collapsed="false">
      <c r="A64" s="3"/>
      <c r="B64" s="11" t="s">
        <v>197</v>
      </c>
      <c r="C64" s="12" t="s">
        <v>198</v>
      </c>
      <c r="D64" s="13" t="s">
        <v>199</v>
      </c>
    </row>
    <row r="65" customFormat="false" ht="22.5" hidden="false" customHeight="true" outlineLevel="0" collapsed="false">
      <c r="A65" s="3" t="s">
        <v>200</v>
      </c>
      <c r="B65" s="4" t="s">
        <v>201</v>
      </c>
      <c r="C65" s="5" t="s">
        <v>202</v>
      </c>
      <c r="D65" s="6" t="s">
        <v>203</v>
      </c>
    </row>
    <row r="66" customFormat="false" ht="22.5" hidden="false" customHeight="true" outlineLevel="0" collapsed="false">
      <c r="A66" s="3"/>
      <c r="B66" s="8" t="s">
        <v>204</v>
      </c>
      <c r="C66" s="9" t="s">
        <v>205</v>
      </c>
      <c r="D66" s="10" t="s">
        <v>206</v>
      </c>
    </row>
    <row r="67" customFormat="false" ht="22.5" hidden="false" customHeight="true" outlineLevel="0" collapsed="false">
      <c r="A67" s="3"/>
      <c r="B67" s="8" t="s">
        <v>207</v>
      </c>
      <c r="C67" s="9" t="s">
        <v>208</v>
      </c>
      <c r="D67" s="10" t="s">
        <v>209</v>
      </c>
    </row>
    <row r="68" customFormat="false" ht="22.5" hidden="false" customHeight="true" outlineLevel="0" collapsed="false">
      <c r="A68" s="3"/>
      <c r="B68" s="8" t="s">
        <v>210</v>
      </c>
      <c r="C68" s="9" t="s">
        <v>211</v>
      </c>
      <c r="D68" s="10" t="s">
        <v>212</v>
      </c>
    </row>
    <row r="69" customFormat="false" ht="22.5" hidden="false" customHeight="true" outlineLevel="0" collapsed="false">
      <c r="A69" s="3"/>
      <c r="B69" s="11" t="s">
        <v>213</v>
      </c>
      <c r="C69" s="12" t="s">
        <v>214</v>
      </c>
      <c r="D69" s="13" t="s">
        <v>215</v>
      </c>
    </row>
    <row r="70" customFormat="false" ht="22.5" hidden="false" customHeight="true" outlineLevel="0" collapsed="false">
      <c r="A70" s="3" t="s">
        <v>216</v>
      </c>
      <c r="B70" s="4" t="s">
        <v>217</v>
      </c>
      <c r="C70" s="5" t="s">
        <v>218</v>
      </c>
      <c r="D70" s="6" t="s">
        <v>219</v>
      </c>
    </row>
    <row r="71" customFormat="false" ht="22.5" hidden="false" customHeight="true" outlineLevel="0" collapsed="false">
      <c r="A71" s="3"/>
      <c r="B71" s="8" t="s">
        <v>220</v>
      </c>
      <c r="C71" s="9" t="s">
        <v>221</v>
      </c>
      <c r="D71" s="10" t="s">
        <v>222</v>
      </c>
    </row>
    <row r="72" customFormat="false" ht="22.5" hidden="false" customHeight="true" outlineLevel="0" collapsed="false">
      <c r="A72" s="3"/>
      <c r="B72" s="8" t="s">
        <v>223</v>
      </c>
      <c r="C72" s="9" t="s">
        <v>224</v>
      </c>
      <c r="D72" s="10" t="s">
        <v>225</v>
      </c>
    </row>
    <row r="73" customFormat="false" ht="22.5" hidden="false" customHeight="true" outlineLevel="0" collapsed="false">
      <c r="A73" s="3"/>
      <c r="B73" s="8" t="s">
        <v>226</v>
      </c>
      <c r="C73" s="9" t="s">
        <v>227</v>
      </c>
      <c r="D73" s="10" t="s">
        <v>228</v>
      </c>
    </row>
    <row r="74" customFormat="false" ht="22.5" hidden="false" customHeight="true" outlineLevel="0" collapsed="false">
      <c r="A74" s="3"/>
      <c r="B74" s="8" t="s">
        <v>229</v>
      </c>
      <c r="C74" s="9" t="s">
        <v>230</v>
      </c>
      <c r="D74" s="10" t="s">
        <v>231</v>
      </c>
    </row>
    <row r="75" customFormat="false" ht="22.5" hidden="false" customHeight="true" outlineLevel="0" collapsed="false">
      <c r="A75" s="3"/>
      <c r="B75" s="11" t="s">
        <v>232</v>
      </c>
      <c r="C75" s="12" t="s">
        <v>233</v>
      </c>
      <c r="D75" s="13" t="s">
        <v>234</v>
      </c>
    </row>
    <row r="76" customFormat="false" ht="22.5" hidden="false" customHeight="true" outlineLevel="0" collapsed="false">
      <c r="A76" s="3" t="s">
        <v>235</v>
      </c>
      <c r="B76" s="4" t="s">
        <v>236</v>
      </c>
      <c r="C76" s="5" t="s">
        <v>237</v>
      </c>
      <c r="D76" s="6" t="s">
        <v>136</v>
      </c>
    </row>
    <row r="77" customFormat="false" ht="22.5" hidden="false" customHeight="true" outlineLevel="0" collapsed="false">
      <c r="A77" s="3"/>
      <c r="B77" s="8" t="s">
        <v>238</v>
      </c>
      <c r="C77" s="9" t="s">
        <v>239</v>
      </c>
      <c r="D77" s="10" t="s">
        <v>240</v>
      </c>
    </row>
    <row r="78" customFormat="false" ht="22.5" hidden="false" customHeight="true" outlineLevel="0" collapsed="false">
      <c r="A78" s="3"/>
      <c r="B78" s="11" t="s">
        <v>241</v>
      </c>
      <c r="C78" s="12" t="s">
        <v>242</v>
      </c>
      <c r="D78" s="13" t="s">
        <v>136</v>
      </c>
    </row>
    <row r="79" customFormat="false" ht="22.5" hidden="false" customHeight="true" outlineLevel="0" collapsed="false">
      <c r="A79" s="3" t="s">
        <v>243</v>
      </c>
      <c r="B79" s="4" t="s">
        <v>244</v>
      </c>
      <c r="C79" s="5" t="s">
        <v>245</v>
      </c>
      <c r="D79" s="6" t="s">
        <v>246</v>
      </c>
    </row>
    <row r="80" customFormat="false" ht="22.5" hidden="false" customHeight="true" outlineLevel="0" collapsed="false">
      <c r="A80" s="3"/>
      <c r="B80" s="8" t="s">
        <v>247</v>
      </c>
      <c r="C80" s="9" t="s">
        <v>248</v>
      </c>
      <c r="D80" s="10" t="s">
        <v>249</v>
      </c>
    </row>
    <row r="81" customFormat="false" ht="22.5" hidden="false" customHeight="true" outlineLevel="0" collapsed="false">
      <c r="A81" s="3"/>
      <c r="B81" s="8" t="s">
        <v>250</v>
      </c>
      <c r="C81" s="9" t="s">
        <v>251</v>
      </c>
      <c r="D81" s="10" t="s">
        <v>249</v>
      </c>
    </row>
    <row r="82" customFormat="false" ht="22.5" hidden="false" customHeight="true" outlineLevel="0" collapsed="false">
      <c r="A82" s="3"/>
      <c r="B82" s="11" t="s">
        <v>252</v>
      </c>
      <c r="C82" s="12" t="s">
        <v>253</v>
      </c>
      <c r="D82" s="13" t="s">
        <v>254</v>
      </c>
    </row>
  </sheetData>
  <mergeCells count="18">
    <mergeCell ref="A2:A7"/>
    <mergeCell ref="A8:A14"/>
    <mergeCell ref="A15:A17"/>
    <mergeCell ref="A18:A20"/>
    <mergeCell ref="A21:A25"/>
    <mergeCell ref="A26:A29"/>
    <mergeCell ref="A30:A34"/>
    <mergeCell ref="A35:A38"/>
    <mergeCell ref="A39:A42"/>
    <mergeCell ref="A43:A47"/>
    <mergeCell ref="A48:A51"/>
    <mergeCell ref="A52:A56"/>
    <mergeCell ref="A57:A61"/>
    <mergeCell ref="A62:A64"/>
    <mergeCell ref="A65:A69"/>
    <mergeCell ref="A70:A75"/>
    <mergeCell ref="A76:A78"/>
    <mergeCell ref="A79:A8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3281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2"/>
    <col collapsed="false" customWidth="true" hidden="false" outlineLevel="0" max="3" min="3" style="0" width="11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8" min="8" style="0" width="10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3"/>
    <col collapsed="false" customWidth="true" hidden="false" outlineLevel="0" max="12" min="12" style="0" width="8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7"/>
    <col collapsed="false" customWidth="true" hidden="false" outlineLevel="0" max="16" min="16" style="0" width="10"/>
    <col collapsed="false" customWidth="true" hidden="false" outlineLevel="0" max="17" min="17" style="0" width="11"/>
    <col collapsed="false" customWidth="true" hidden="false" outlineLevel="0" max="19" min="18" style="0" width="10"/>
    <col collapsed="false" customWidth="true" hidden="false" outlineLevel="0" max="20" min="20" style="0" width="9"/>
    <col collapsed="false" customWidth="true" hidden="false" outlineLevel="0" max="21" min="21" style="0" width="12"/>
    <col collapsed="false" customWidth="true" hidden="false" outlineLevel="0" max="22" min="22" style="0" width="13"/>
    <col collapsed="false" customWidth="true" hidden="false" outlineLevel="0" max="23" min="23" style="0" width="16"/>
  </cols>
  <sheetData>
    <row r="1" customFormat="false" ht="14.25" hidden="false" customHeight="false" outlineLevel="0" collapsed="false">
      <c r="A1" s="14" t="s">
        <v>255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</row>
    <row r="2" customFormat="false" ht="27.75" hidden="false" customHeight="true" outlineLevel="0" collapsed="false">
      <c r="A2" s="15" t="s">
        <v>256</v>
      </c>
      <c r="B2" s="15" t="s">
        <v>257</v>
      </c>
      <c r="C2" s="15" t="s">
        <v>5</v>
      </c>
      <c r="D2" s="15" t="s">
        <v>8</v>
      </c>
      <c r="E2" s="15" t="s">
        <v>258</v>
      </c>
      <c r="F2" s="15" t="s">
        <v>259</v>
      </c>
      <c r="G2" s="15" t="s">
        <v>260</v>
      </c>
      <c r="H2" s="15" t="s">
        <v>261</v>
      </c>
      <c r="I2" s="15" t="s">
        <v>262</v>
      </c>
      <c r="J2" s="15" t="s">
        <v>43</v>
      </c>
      <c r="K2" s="15" t="s">
        <v>263</v>
      </c>
      <c r="L2" s="15" t="s">
        <v>264</v>
      </c>
      <c r="M2" s="15" t="s">
        <v>265</v>
      </c>
      <c r="N2" s="15" t="s">
        <v>266</v>
      </c>
      <c r="O2" s="15" t="s">
        <v>267</v>
      </c>
      <c r="P2" s="15" t="s">
        <v>111</v>
      </c>
      <c r="Q2" s="15" t="s">
        <v>268</v>
      </c>
      <c r="R2" s="15" t="s">
        <v>269</v>
      </c>
      <c r="S2" s="15" t="s">
        <v>270</v>
      </c>
      <c r="T2" s="15" t="s">
        <v>271</v>
      </c>
      <c r="U2" s="15" t="s">
        <v>272</v>
      </c>
      <c r="V2" s="15" t="s">
        <v>273</v>
      </c>
      <c r="W2" s="15" t="s">
        <v>274</v>
      </c>
    </row>
    <row r="3" customFormat="false" ht="14.25" hidden="false" customHeight="false" outlineLevel="0" collapsed="false">
      <c r="A3" s="16" t="s">
        <v>275</v>
      </c>
      <c r="B3" s="16" t="s">
        <v>276</v>
      </c>
      <c r="C3" s="16" t="n">
        <v>3005.5</v>
      </c>
      <c r="D3" s="16" t="n">
        <v>3015</v>
      </c>
      <c r="E3" s="17" t="n">
        <f aca="false">D3-C3</f>
        <v>9.5</v>
      </c>
      <c r="F3" s="16" t="n">
        <v>6250000</v>
      </c>
      <c r="G3" s="16" t="n">
        <v>6000000</v>
      </c>
      <c r="H3" s="17" t="n">
        <f aca="false">F3-G3</f>
        <v>250000</v>
      </c>
      <c r="I3" s="17" t="str">
        <f aca="false">IF(AND(D3&gt;C3,H3&gt;0),"Long Buildup",IF(AND(D3&lt;C3,H3&gt;0),"Short Buildup",IF(AND(D3&gt;C3,H3&lt;0),"Short Covering",IF(AND(D3&lt;C3,H3&lt;0),"Long Unwinding","Flat"))))</f>
        <v>Long Buildup</v>
      </c>
      <c r="J3" s="16" t="n">
        <v>4500000</v>
      </c>
      <c r="K3" s="16" t="n">
        <v>3900000</v>
      </c>
      <c r="L3" s="16" t="n">
        <v>58.2</v>
      </c>
      <c r="M3" s="16" t="n">
        <v>42</v>
      </c>
      <c r="N3" s="16" t="n">
        <v>24.5</v>
      </c>
      <c r="O3" s="16" t="n">
        <v>0.85</v>
      </c>
      <c r="P3" s="16" t="n">
        <v>13.2</v>
      </c>
      <c r="Q3" s="16" t="n">
        <v>3015</v>
      </c>
      <c r="R3" s="16" t="n">
        <v>2985</v>
      </c>
      <c r="S3" s="16" t="n">
        <v>3075</v>
      </c>
      <c r="T3" s="17" t="n">
        <f aca="false">IFERROR((S3-Q3)/(Q3-R3),"")</f>
        <v>2</v>
      </c>
      <c r="U3" s="16" t="n">
        <v>500000</v>
      </c>
      <c r="V3" s="16" t="n">
        <v>0.01</v>
      </c>
      <c r="W3" s="17" t="n">
        <f aca="false">IFERROR((U3*V3)/(Q3-R3),"")</f>
        <v>166.666666666667</v>
      </c>
    </row>
    <row r="4" customFormat="false" ht="14.25" hidden="false" customHeight="false" outlineLevel="0" collapsed="false">
      <c r="A4" s="18"/>
      <c r="B4" s="18"/>
      <c r="C4" s="18"/>
      <c r="D4" s="18"/>
      <c r="E4" s="17" t="n">
        <f aca="false">D4-C4</f>
        <v>0</v>
      </c>
      <c r="F4" s="18"/>
      <c r="G4" s="18"/>
      <c r="H4" s="17" t="n">
        <f aca="false">F4-G4</f>
        <v>0</v>
      </c>
      <c r="I4" s="17" t="str">
        <f aca="false">IF(AND(D4&gt;C4,H4&gt;0),"Long Buildup",IF(AND(D4&lt;C4,H4&gt;0),"Short Buildup",IF(AND(D4&gt;C4,H4&lt;0),"Short Covering",IF(AND(D4&lt;C4,H4&lt;0),"Long Unwinding",""))))</f>
        <v/>
      </c>
      <c r="J4" s="18"/>
      <c r="K4" s="18"/>
      <c r="L4" s="18"/>
      <c r="M4" s="18"/>
      <c r="N4" s="18"/>
      <c r="O4" s="18"/>
      <c r="P4" s="18"/>
      <c r="Q4" s="18"/>
      <c r="R4" s="18"/>
      <c r="S4" s="18"/>
      <c r="T4" s="17" t="str">
        <f aca="false">IFERROR((S4-Q4)/(Q4-R4),"")</f>
        <v/>
      </c>
      <c r="U4" s="18"/>
      <c r="V4" s="18"/>
      <c r="W4" s="17" t="str">
        <f aca="false">IFERROR((U4*V4)/(Q4-R4),"")</f>
        <v/>
      </c>
    </row>
    <row r="5" customFormat="false" ht="14.25" hidden="false" customHeight="false" outlineLevel="0" collapsed="false">
      <c r="A5" s="18"/>
      <c r="B5" s="18"/>
      <c r="C5" s="18"/>
      <c r="D5" s="18"/>
      <c r="E5" s="17" t="n">
        <f aca="false">D5-C5</f>
        <v>0</v>
      </c>
      <c r="F5" s="18"/>
      <c r="G5" s="18"/>
      <c r="H5" s="17" t="n">
        <f aca="false">F5-G5</f>
        <v>0</v>
      </c>
      <c r="I5" s="17" t="str">
        <f aca="false">IF(AND(D5&gt;C5,H5&gt;0),"Long Buildup",IF(AND(D5&lt;C5,H5&gt;0),"Short Buildup",IF(AND(D5&gt;C5,H5&lt;0),"Short Covering",IF(AND(D5&lt;C5,H5&lt;0),"Long Unwinding",""))))</f>
        <v/>
      </c>
      <c r="J5" s="18"/>
      <c r="K5" s="18"/>
      <c r="L5" s="18"/>
      <c r="M5" s="18"/>
      <c r="N5" s="18"/>
      <c r="O5" s="18"/>
      <c r="P5" s="18"/>
      <c r="Q5" s="18"/>
      <c r="R5" s="18"/>
      <c r="S5" s="18"/>
      <c r="T5" s="17" t="str">
        <f aca="false">IFERROR((S5-Q5)/(Q5-R5),"")</f>
        <v/>
      </c>
      <c r="U5" s="18"/>
      <c r="V5" s="18"/>
      <c r="W5" s="17" t="str">
        <f aca="false">IFERROR((U5*V5)/(Q5-R5),"")</f>
        <v/>
      </c>
    </row>
    <row r="6" customFormat="false" ht="14.25" hidden="false" customHeight="false" outlineLevel="0" collapsed="false">
      <c r="A6" s="18"/>
      <c r="B6" s="18"/>
      <c r="C6" s="18"/>
      <c r="D6" s="18"/>
      <c r="E6" s="17" t="n">
        <f aca="false">D6-C6</f>
        <v>0</v>
      </c>
      <c r="F6" s="18"/>
      <c r="G6" s="18"/>
      <c r="H6" s="17" t="n">
        <f aca="false">F6-G6</f>
        <v>0</v>
      </c>
      <c r="I6" s="17" t="str">
        <f aca="false">IF(AND(D6&gt;C6,H6&gt;0),"Long Buildup",IF(AND(D6&lt;C6,H6&gt;0),"Short Buildup",IF(AND(D6&gt;C6,H6&lt;0),"Short Covering",IF(AND(D6&lt;C6,H6&lt;0),"Long Unwinding",""))))</f>
        <v/>
      </c>
      <c r="J6" s="18"/>
      <c r="K6" s="18"/>
      <c r="L6" s="18"/>
      <c r="M6" s="18"/>
      <c r="N6" s="18"/>
      <c r="O6" s="18"/>
      <c r="P6" s="18"/>
      <c r="Q6" s="18"/>
      <c r="R6" s="18"/>
      <c r="S6" s="18"/>
      <c r="T6" s="17" t="str">
        <f aca="false">IFERROR((S6-Q6)/(Q6-R6),"")</f>
        <v/>
      </c>
      <c r="U6" s="18"/>
      <c r="V6" s="18"/>
      <c r="W6" s="17" t="str">
        <f aca="false">IFERROR((U6*V6)/(Q6-R6),"")</f>
        <v/>
      </c>
    </row>
    <row r="7" customFormat="false" ht="14.25" hidden="false" customHeight="false" outlineLevel="0" collapsed="false">
      <c r="A7" s="18"/>
      <c r="B7" s="18"/>
      <c r="C7" s="18"/>
      <c r="D7" s="18"/>
      <c r="E7" s="17" t="n">
        <f aca="false">D7-C7</f>
        <v>0</v>
      </c>
      <c r="F7" s="18"/>
      <c r="G7" s="18"/>
      <c r="H7" s="17" t="n">
        <f aca="false">F7-G7</f>
        <v>0</v>
      </c>
      <c r="I7" s="17" t="str">
        <f aca="false">IF(AND(D7&gt;C7,H7&gt;0),"Long Buildup",IF(AND(D7&lt;C7,H7&gt;0),"Short Buildup",IF(AND(D7&gt;C7,H7&lt;0),"Short Covering",IF(AND(D7&lt;C7,H7&lt;0),"Long Unwinding",""))))</f>
        <v/>
      </c>
      <c r="J7" s="18"/>
      <c r="K7" s="18"/>
      <c r="L7" s="18"/>
      <c r="M7" s="18"/>
      <c r="N7" s="18"/>
      <c r="O7" s="18"/>
      <c r="P7" s="18"/>
      <c r="Q7" s="18"/>
      <c r="R7" s="18"/>
      <c r="S7" s="18"/>
      <c r="T7" s="17" t="str">
        <f aca="false">IFERROR((S7-Q7)/(Q7-R7),"")</f>
        <v/>
      </c>
      <c r="U7" s="18"/>
      <c r="V7" s="18"/>
      <c r="W7" s="17" t="str">
        <f aca="false">IFERROR((U7*V7)/(Q7-R7),"")</f>
        <v/>
      </c>
    </row>
    <row r="8" customFormat="false" ht="14.25" hidden="false" customHeight="false" outlineLevel="0" collapsed="false">
      <c r="A8" s="18"/>
      <c r="B8" s="18"/>
      <c r="C8" s="18"/>
      <c r="D8" s="18"/>
      <c r="E8" s="17" t="n">
        <f aca="false">D8-C8</f>
        <v>0</v>
      </c>
      <c r="F8" s="18"/>
      <c r="G8" s="18"/>
      <c r="H8" s="17" t="n">
        <f aca="false">F8-G8</f>
        <v>0</v>
      </c>
      <c r="I8" s="17" t="str">
        <f aca="false">IF(AND(D8&gt;C8,H8&gt;0),"Long Buildup",IF(AND(D8&lt;C8,H8&gt;0),"Short Buildup",IF(AND(D8&gt;C8,H8&lt;0),"Short Covering",IF(AND(D8&lt;C8,H8&lt;0),"Long Unwinding",""))))</f>
        <v/>
      </c>
      <c r="J8" s="18"/>
      <c r="K8" s="18"/>
      <c r="L8" s="18"/>
      <c r="M8" s="18"/>
      <c r="N8" s="18"/>
      <c r="O8" s="18"/>
      <c r="P8" s="18"/>
      <c r="Q8" s="18"/>
      <c r="R8" s="18"/>
      <c r="S8" s="18"/>
      <c r="T8" s="17" t="str">
        <f aca="false">IFERROR((S8-Q8)/(Q8-R8),"")</f>
        <v/>
      </c>
      <c r="U8" s="18"/>
      <c r="V8" s="18"/>
      <c r="W8" s="17" t="str">
        <f aca="false">IFERROR((U8*V8)/(Q8-R8),"")</f>
        <v/>
      </c>
    </row>
    <row r="9" customFormat="false" ht="14.25" hidden="false" customHeight="false" outlineLevel="0" collapsed="false">
      <c r="A9" s="18"/>
      <c r="B9" s="18"/>
      <c r="C9" s="18"/>
      <c r="D9" s="18"/>
      <c r="E9" s="17" t="n">
        <f aca="false">D9-C9</f>
        <v>0</v>
      </c>
      <c r="F9" s="18"/>
      <c r="G9" s="18"/>
      <c r="H9" s="17" t="n">
        <f aca="false">F9-G9</f>
        <v>0</v>
      </c>
      <c r="I9" s="17" t="str">
        <f aca="false">IF(AND(D9&gt;C9,H9&gt;0),"Long Buildup",IF(AND(D9&lt;C9,H9&gt;0),"Short Buildup",IF(AND(D9&gt;C9,H9&lt;0),"Short Covering",IF(AND(D9&lt;C9,H9&lt;0),"Long Unwinding",""))))</f>
        <v/>
      </c>
      <c r="J9" s="18"/>
      <c r="K9" s="18"/>
      <c r="L9" s="18"/>
      <c r="M9" s="18"/>
      <c r="N9" s="18"/>
      <c r="O9" s="18"/>
      <c r="P9" s="18"/>
      <c r="Q9" s="18"/>
      <c r="R9" s="18"/>
      <c r="S9" s="18"/>
      <c r="T9" s="17" t="str">
        <f aca="false">IFERROR((S9-Q9)/(Q9-R9),"")</f>
        <v/>
      </c>
      <c r="U9" s="18"/>
      <c r="V9" s="18"/>
      <c r="W9" s="17" t="str">
        <f aca="false">IFERROR((U9*V9)/(Q9-R9),"")</f>
        <v/>
      </c>
    </row>
    <row r="10" customFormat="false" ht="14.25" hidden="false" customHeight="false" outlineLevel="0" collapsed="false">
      <c r="A10" s="18"/>
      <c r="B10" s="18"/>
      <c r="C10" s="18"/>
      <c r="D10" s="18"/>
      <c r="E10" s="17" t="n">
        <f aca="false">D10-C10</f>
        <v>0</v>
      </c>
      <c r="F10" s="18"/>
      <c r="G10" s="18"/>
      <c r="H10" s="17" t="n">
        <f aca="false">F10-G10</f>
        <v>0</v>
      </c>
      <c r="I10" s="17" t="str">
        <f aca="false">IF(AND(D10&gt;C10,H10&gt;0),"Long Buildup",IF(AND(D10&lt;C10,H10&gt;0),"Short Buildup",IF(AND(D10&gt;C10,H10&lt;0),"Short Covering",IF(AND(D10&lt;C10,H10&lt;0),"Long Unwinding",""))))</f>
        <v/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7" t="str">
        <f aca="false">IFERROR((S10-Q10)/(Q10-R10),"")</f>
        <v/>
      </c>
      <c r="U10" s="18"/>
      <c r="V10" s="18"/>
      <c r="W10" s="17" t="str">
        <f aca="false">IFERROR((U10*V10)/(Q10-R10),"")</f>
        <v/>
      </c>
    </row>
    <row r="11" customFormat="false" ht="14.25" hidden="false" customHeight="false" outlineLevel="0" collapsed="false">
      <c r="A11" s="18"/>
      <c r="B11" s="18"/>
      <c r="C11" s="18"/>
      <c r="D11" s="18"/>
      <c r="E11" s="17" t="n">
        <f aca="false">D11-C11</f>
        <v>0</v>
      </c>
      <c r="F11" s="18"/>
      <c r="G11" s="18"/>
      <c r="H11" s="17" t="n">
        <f aca="false">F11-G11</f>
        <v>0</v>
      </c>
      <c r="I11" s="17" t="str">
        <f aca="false">IF(AND(D11&gt;C11,H11&gt;0),"Long Buildup",IF(AND(D11&lt;C11,H11&gt;0),"Short Buildup",IF(AND(D11&gt;C11,H11&lt;0),"Short Covering",IF(AND(D11&lt;C11,H11&lt;0),"Long Unwinding",""))))</f>
        <v/>
      </c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7" t="str">
        <f aca="false">IFERROR((S11-Q11)/(Q11-R11),"")</f>
        <v/>
      </c>
      <c r="U11" s="18"/>
      <c r="V11" s="18"/>
      <c r="W11" s="17" t="str">
        <f aca="false">IFERROR((U11*V11)/(Q11-R11),"")</f>
        <v/>
      </c>
    </row>
    <row r="12" customFormat="false" ht="14.25" hidden="false" customHeight="false" outlineLevel="0" collapsed="false">
      <c r="A12" s="18"/>
      <c r="B12" s="18"/>
      <c r="C12" s="18"/>
      <c r="D12" s="18"/>
      <c r="E12" s="17" t="n">
        <f aca="false">D12-C12</f>
        <v>0</v>
      </c>
      <c r="F12" s="18"/>
      <c r="G12" s="18"/>
      <c r="H12" s="17" t="n">
        <f aca="false">F12-G12</f>
        <v>0</v>
      </c>
      <c r="I12" s="17" t="str">
        <f aca="false">IF(AND(D12&gt;C12,H12&gt;0),"Long Buildup",IF(AND(D12&lt;C12,H12&gt;0),"Short Buildup",IF(AND(D12&gt;C12,H12&lt;0),"Short Covering",IF(AND(D12&lt;C12,H12&lt;0),"Long Unwinding",""))))</f>
        <v/>
      </c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7" t="str">
        <f aca="false">IFERROR((S12-Q12)/(Q12-R12),"")</f>
        <v/>
      </c>
      <c r="U12" s="18"/>
      <c r="V12" s="18"/>
      <c r="W12" s="17" t="str">
        <f aca="false">IFERROR((U12*V12)/(Q12-R12),"")</f>
        <v/>
      </c>
    </row>
    <row r="13" customFormat="false" ht="14.25" hidden="false" customHeight="false" outlineLevel="0" collapsed="false">
      <c r="A13" s="18"/>
      <c r="B13" s="18"/>
      <c r="C13" s="18"/>
      <c r="D13" s="18"/>
      <c r="E13" s="17" t="n">
        <f aca="false">D13-C13</f>
        <v>0</v>
      </c>
      <c r="F13" s="18"/>
      <c r="G13" s="18"/>
      <c r="H13" s="17" t="n">
        <f aca="false">F13-G13</f>
        <v>0</v>
      </c>
      <c r="I13" s="17" t="str">
        <f aca="false">IF(AND(D13&gt;C13,H13&gt;0),"Long Buildup",IF(AND(D13&lt;C13,H13&gt;0),"Short Buildup",IF(AND(D13&gt;C13,H13&lt;0),"Short Covering",IF(AND(D13&lt;C13,H13&lt;0),"Long Unwinding",""))))</f>
        <v/>
      </c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7" t="str">
        <f aca="false">IFERROR((S13-Q13)/(Q13-R13),"")</f>
        <v/>
      </c>
      <c r="U13" s="18"/>
      <c r="V13" s="18"/>
      <c r="W13" s="17" t="str">
        <f aca="false">IFERROR((U13*V13)/(Q13-R13),"")</f>
        <v/>
      </c>
    </row>
    <row r="14" customFormat="false" ht="14.25" hidden="false" customHeight="false" outlineLevel="0" collapsed="false">
      <c r="A14" s="18"/>
      <c r="B14" s="18"/>
      <c r="C14" s="18"/>
      <c r="D14" s="18"/>
      <c r="E14" s="17" t="n">
        <f aca="false">D14-C14</f>
        <v>0</v>
      </c>
      <c r="F14" s="18"/>
      <c r="G14" s="18"/>
      <c r="H14" s="17" t="n">
        <f aca="false">F14-G14</f>
        <v>0</v>
      </c>
      <c r="I14" s="17" t="str">
        <f aca="false">IF(AND(D14&gt;C14,H14&gt;0),"Long Buildup",IF(AND(D14&lt;C14,H14&gt;0),"Short Buildup",IF(AND(D14&gt;C14,H14&lt;0),"Short Covering",IF(AND(D14&lt;C14,H14&lt;0),"Long Unwinding",""))))</f>
        <v/>
      </c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7" t="str">
        <f aca="false">IFERROR((S14-Q14)/(Q14-R14),"")</f>
        <v/>
      </c>
      <c r="U14" s="18"/>
      <c r="V14" s="18"/>
      <c r="W14" s="17" t="str">
        <f aca="false">IFERROR((U14*V14)/(Q14-R14),"")</f>
        <v/>
      </c>
    </row>
    <row r="15" customFormat="false" ht="14.25" hidden="false" customHeight="false" outlineLevel="0" collapsed="false">
      <c r="A15" s="18"/>
      <c r="B15" s="18"/>
      <c r="C15" s="18"/>
      <c r="D15" s="18"/>
      <c r="E15" s="17" t="n">
        <f aca="false">D15-C15</f>
        <v>0</v>
      </c>
      <c r="F15" s="18"/>
      <c r="G15" s="18"/>
      <c r="H15" s="17" t="n">
        <f aca="false">F15-G15</f>
        <v>0</v>
      </c>
      <c r="I15" s="17" t="str">
        <f aca="false">IF(AND(D15&gt;C15,H15&gt;0),"Long Buildup",IF(AND(D15&lt;C15,H15&gt;0),"Short Buildup",IF(AND(D15&gt;C15,H15&lt;0),"Short Covering",IF(AND(D15&lt;C15,H15&lt;0),"Long Unwinding",""))))</f>
        <v/>
      </c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7" t="str">
        <f aca="false">IFERROR((S15-Q15)/(Q15-R15),"")</f>
        <v/>
      </c>
      <c r="U15" s="18"/>
      <c r="V15" s="18"/>
      <c r="W15" s="17" t="str">
        <f aca="false">IFERROR((U15*V15)/(Q15-R15),"")</f>
        <v/>
      </c>
    </row>
    <row r="16" customFormat="false" ht="14.25" hidden="false" customHeight="false" outlineLevel="0" collapsed="false">
      <c r="A16" s="18"/>
      <c r="B16" s="18"/>
      <c r="C16" s="18"/>
      <c r="D16" s="18"/>
      <c r="E16" s="17" t="n">
        <f aca="false">D16-C16</f>
        <v>0</v>
      </c>
      <c r="F16" s="18"/>
      <c r="G16" s="18"/>
      <c r="H16" s="17" t="n">
        <f aca="false">F16-G16</f>
        <v>0</v>
      </c>
      <c r="I16" s="17" t="str">
        <f aca="false">IF(AND(D16&gt;C16,H16&gt;0),"Long Buildup",IF(AND(D16&lt;C16,H16&gt;0),"Short Buildup",IF(AND(D16&gt;C16,H16&lt;0),"Short Covering",IF(AND(D16&lt;C16,H16&lt;0),"Long Unwinding",""))))</f>
        <v/>
      </c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7" t="str">
        <f aca="false">IFERROR((S16-Q16)/(Q16-R16),"")</f>
        <v/>
      </c>
      <c r="U16" s="18"/>
      <c r="V16" s="18"/>
      <c r="W16" s="17" t="str">
        <f aca="false">IFERROR((U16*V16)/(Q16-R16),"")</f>
        <v/>
      </c>
    </row>
    <row r="17" customFormat="false" ht="14.25" hidden="false" customHeight="false" outlineLevel="0" collapsed="false">
      <c r="A17" s="18"/>
      <c r="B17" s="18"/>
      <c r="C17" s="18"/>
      <c r="D17" s="18"/>
      <c r="E17" s="17" t="n">
        <f aca="false">D17-C17</f>
        <v>0</v>
      </c>
      <c r="F17" s="18"/>
      <c r="G17" s="18"/>
      <c r="H17" s="17" t="n">
        <f aca="false">F17-G17</f>
        <v>0</v>
      </c>
      <c r="I17" s="17" t="str">
        <f aca="false">IF(AND(D17&gt;C17,H17&gt;0),"Long Buildup",IF(AND(D17&lt;C17,H17&gt;0),"Short Buildup",IF(AND(D17&gt;C17,H17&lt;0),"Short Covering",IF(AND(D17&lt;C17,H17&lt;0),"Long Unwinding",""))))</f>
        <v/>
      </c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7" t="str">
        <f aca="false">IFERROR((S17-Q17)/(Q17-R17),"")</f>
        <v/>
      </c>
      <c r="U17" s="18"/>
      <c r="V17" s="18"/>
      <c r="W17" s="17" t="str">
        <f aca="false">IFERROR((U17*V17)/(Q17-R17),"")</f>
        <v/>
      </c>
    </row>
    <row r="18" customFormat="false" ht="14.25" hidden="false" customHeight="false" outlineLevel="0" collapsed="false">
      <c r="A18" s="18"/>
      <c r="B18" s="18"/>
      <c r="C18" s="18"/>
      <c r="D18" s="18"/>
      <c r="E18" s="17" t="n">
        <f aca="false">D18-C18</f>
        <v>0</v>
      </c>
      <c r="F18" s="18"/>
      <c r="G18" s="18"/>
      <c r="H18" s="17" t="n">
        <f aca="false">F18-G18</f>
        <v>0</v>
      </c>
      <c r="I18" s="17" t="str">
        <f aca="false">IF(AND(D18&gt;C18,H18&gt;0),"Long Buildup",IF(AND(D18&lt;C18,H18&gt;0),"Short Buildup",IF(AND(D18&gt;C18,H18&lt;0),"Short Covering",IF(AND(D18&lt;C18,H18&lt;0),"Long Unwinding",""))))</f>
        <v/>
      </c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7" t="str">
        <f aca="false">IFERROR((S18-Q18)/(Q18-R18),"")</f>
        <v/>
      </c>
      <c r="U18" s="18"/>
      <c r="V18" s="18"/>
      <c r="W18" s="17" t="str">
        <f aca="false">IFERROR((U18*V18)/(Q18-R18),"")</f>
        <v/>
      </c>
    </row>
    <row r="19" customFormat="false" ht="14.25" hidden="false" customHeight="false" outlineLevel="0" collapsed="false">
      <c r="A19" s="18"/>
      <c r="B19" s="18"/>
      <c r="C19" s="18"/>
      <c r="D19" s="18"/>
      <c r="E19" s="17" t="n">
        <f aca="false">D19-C19</f>
        <v>0</v>
      </c>
      <c r="F19" s="18"/>
      <c r="G19" s="18"/>
      <c r="H19" s="17" t="n">
        <f aca="false">F19-G19</f>
        <v>0</v>
      </c>
      <c r="I19" s="17" t="str">
        <f aca="false">IF(AND(D19&gt;C19,H19&gt;0),"Long Buildup",IF(AND(D19&lt;C19,H19&gt;0),"Short Buildup",IF(AND(D19&gt;C19,H19&lt;0),"Short Covering",IF(AND(D19&lt;C19,H19&lt;0),"Long Unwinding",""))))</f>
        <v/>
      </c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7" t="str">
        <f aca="false">IFERROR((S19-Q19)/(Q19-R19),"")</f>
        <v/>
      </c>
      <c r="U19" s="18"/>
      <c r="V19" s="18"/>
      <c r="W19" s="17" t="str">
        <f aca="false">IFERROR((U19*V19)/(Q19-R19),"")</f>
        <v/>
      </c>
    </row>
    <row r="20" customFormat="false" ht="14.25" hidden="false" customHeight="false" outlineLevel="0" collapsed="false">
      <c r="A20" s="18"/>
      <c r="B20" s="18"/>
      <c r="C20" s="18"/>
      <c r="D20" s="18"/>
      <c r="E20" s="17" t="n">
        <f aca="false">D20-C20</f>
        <v>0</v>
      </c>
      <c r="F20" s="18"/>
      <c r="G20" s="18"/>
      <c r="H20" s="17" t="n">
        <f aca="false">F20-G20</f>
        <v>0</v>
      </c>
      <c r="I20" s="17" t="str">
        <f aca="false">IF(AND(D20&gt;C20,H20&gt;0),"Long Buildup",IF(AND(D20&lt;C20,H20&gt;0),"Short Buildup",IF(AND(D20&gt;C20,H20&lt;0),"Short Covering",IF(AND(D20&lt;C20,H20&lt;0),"Long Unwinding",""))))</f>
        <v/>
      </c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7" t="str">
        <f aca="false">IFERROR((S20-Q20)/(Q20-R20),"")</f>
        <v/>
      </c>
      <c r="U20" s="18"/>
      <c r="V20" s="18"/>
      <c r="W20" s="17" t="str">
        <f aca="false">IFERROR((U20*V20)/(Q20-R20),"")</f>
        <v/>
      </c>
    </row>
    <row r="21" customFormat="false" ht="14.25" hidden="false" customHeight="false" outlineLevel="0" collapsed="false">
      <c r="A21" s="18"/>
      <c r="B21" s="18"/>
      <c r="C21" s="18"/>
      <c r="D21" s="18"/>
      <c r="E21" s="17" t="n">
        <f aca="false">D21-C21</f>
        <v>0</v>
      </c>
      <c r="F21" s="18"/>
      <c r="G21" s="18"/>
      <c r="H21" s="17" t="n">
        <f aca="false">F21-G21</f>
        <v>0</v>
      </c>
      <c r="I21" s="17" t="str">
        <f aca="false">IF(AND(D21&gt;C21,H21&gt;0),"Long Buildup",IF(AND(D21&lt;C21,H21&gt;0),"Short Buildup",IF(AND(D21&gt;C21,H21&lt;0),"Short Covering",IF(AND(D21&lt;C21,H21&lt;0),"Long Unwinding",""))))</f>
        <v/>
      </c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7" t="str">
        <f aca="false">IFERROR((S21-Q21)/(Q21-R21),"")</f>
        <v/>
      </c>
      <c r="U21" s="18"/>
      <c r="V21" s="18"/>
      <c r="W21" s="17" t="str">
        <f aca="false">IFERROR((U21*V21)/(Q21-R21),"")</f>
        <v/>
      </c>
    </row>
    <row r="22" customFormat="false" ht="14.25" hidden="false" customHeight="false" outlineLevel="0" collapsed="false">
      <c r="A22" s="18"/>
      <c r="B22" s="18"/>
      <c r="C22" s="18"/>
      <c r="D22" s="18"/>
      <c r="E22" s="17" t="n">
        <f aca="false">D22-C22</f>
        <v>0</v>
      </c>
      <c r="F22" s="18"/>
      <c r="G22" s="18"/>
      <c r="H22" s="17" t="n">
        <f aca="false">F22-G22</f>
        <v>0</v>
      </c>
      <c r="I22" s="17" t="str">
        <f aca="false">IF(AND(D22&gt;C22,H22&gt;0),"Long Buildup",IF(AND(D22&lt;C22,H22&gt;0),"Short Buildup",IF(AND(D22&gt;C22,H22&lt;0),"Short Covering",IF(AND(D22&lt;C22,H22&lt;0),"Long Unwinding",""))))</f>
        <v/>
      </c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7" t="str">
        <f aca="false">IFERROR((S22-Q22)/(Q22-R22),"")</f>
        <v/>
      </c>
      <c r="U22" s="18"/>
      <c r="V22" s="18"/>
      <c r="W22" s="17" t="str">
        <f aca="false">IFERROR((U22*V22)/(Q22-R22),"")</f>
        <v/>
      </c>
    </row>
    <row r="23" customFormat="false" ht="14.25" hidden="false" customHeight="false" outlineLevel="0" collapsed="false">
      <c r="A23" s="18"/>
      <c r="B23" s="18"/>
      <c r="C23" s="18"/>
      <c r="D23" s="18"/>
      <c r="E23" s="17" t="n">
        <f aca="false">D23-C23</f>
        <v>0</v>
      </c>
      <c r="F23" s="18"/>
      <c r="G23" s="18"/>
      <c r="H23" s="17" t="n">
        <f aca="false">F23-G23</f>
        <v>0</v>
      </c>
      <c r="I23" s="17" t="str">
        <f aca="false">IF(AND(D23&gt;C23,H23&gt;0),"Long Buildup",IF(AND(D23&lt;C23,H23&gt;0),"Short Buildup",IF(AND(D23&gt;C23,H23&lt;0),"Short Covering",IF(AND(D23&lt;C23,H23&lt;0),"Long Unwinding",""))))</f>
        <v/>
      </c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7" t="str">
        <f aca="false">IFERROR((S23-Q23)/(Q23-R23),"")</f>
        <v/>
      </c>
      <c r="U23" s="18"/>
      <c r="V23" s="18"/>
      <c r="W23" s="17" t="str">
        <f aca="false">IFERROR((U23*V23)/(Q23-R23),"")</f>
        <v/>
      </c>
    </row>
    <row r="24" customFormat="false" ht="14.25" hidden="false" customHeight="false" outlineLevel="0" collapsed="false">
      <c r="A24" s="18"/>
      <c r="B24" s="18"/>
      <c r="C24" s="18"/>
      <c r="D24" s="18"/>
      <c r="E24" s="17" t="n">
        <f aca="false">D24-C24</f>
        <v>0</v>
      </c>
      <c r="F24" s="18"/>
      <c r="G24" s="18"/>
      <c r="H24" s="17" t="n">
        <f aca="false">F24-G24</f>
        <v>0</v>
      </c>
      <c r="I24" s="17" t="str">
        <f aca="false">IF(AND(D24&gt;C24,H24&gt;0),"Long Buildup",IF(AND(D24&lt;C24,H24&gt;0),"Short Buildup",IF(AND(D24&gt;C24,H24&lt;0),"Short Covering",IF(AND(D24&lt;C24,H24&lt;0),"Long Unwinding",""))))</f>
        <v/>
      </c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7" t="str">
        <f aca="false">IFERROR((S24-Q24)/(Q24-R24),"")</f>
        <v/>
      </c>
      <c r="U24" s="18"/>
      <c r="V24" s="18"/>
      <c r="W24" s="17" t="str">
        <f aca="false">IFERROR((U24*V24)/(Q24-R24),"")</f>
        <v/>
      </c>
    </row>
    <row r="25" customFormat="false" ht="14.25" hidden="false" customHeight="false" outlineLevel="0" collapsed="false">
      <c r="A25" s="18"/>
      <c r="B25" s="18"/>
      <c r="C25" s="18"/>
      <c r="D25" s="18"/>
      <c r="E25" s="17" t="n">
        <f aca="false">D25-C25</f>
        <v>0</v>
      </c>
      <c r="F25" s="18"/>
      <c r="G25" s="18"/>
      <c r="H25" s="17" t="n">
        <f aca="false">F25-G25</f>
        <v>0</v>
      </c>
      <c r="I25" s="17" t="str">
        <f aca="false">IF(AND(D25&gt;C25,H25&gt;0),"Long Buildup",IF(AND(D25&lt;C25,H25&gt;0),"Short Buildup",IF(AND(D25&gt;C25,H25&lt;0),"Short Covering",IF(AND(D25&lt;C25,H25&lt;0),"Long Unwinding",""))))</f>
        <v/>
      </c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7" t="str">
        <f aca="false">IFERROR((S25-Q25)/(Q25-R25),"")</f>
        <v/>
      </c>
      <c r="U25" s="18"/>
      <c r="V25" s="18"/>
      <c r="W25" s="17" t="str">
        <f aca="false">IFERROR((U25*V25)/(Q25-R25),"")</f>
        <v/>
      </c>
    </row>
    <row r="26" customFormat="false" ht="14.25" hidden="false" customHeight="false" outlineLevel="0" collapsed="false">
      <c r="A26" s="18"/>
      <c r="B26" s="18"/>
      <c r="C26" s="18"/>
      <c r="D26" s="18"/>
      <c r="E26" s="17" t="n">
        <f aca="false">D26-C26</f>
        <v>0</v>
      </c>
      <c r="F26" s="18"/>
      <c r="G26" s="18"/>
      <c r="H26" s="17" t="n">
        <f aca="false">F26-G26</f>
        <v>0</v>
      </c>
      <c r="I26" s="17" t="str">
        <f aca="false">IF(AND(D26&gt;C26,H26&gt;0),"Long Buildup",IF(AND(D26&lt;C26,H26&gt;0),"Short Buildup",IF(AND(D26&gt;C26,H26&lt;0),"Short Covering",IF(AND(D26&lt;C26,H26&lt;0),"Long Unwinding",""))))</f>
        <v/>
      </c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7" t="str">
        <f aca="false">IFERROR((S26-Q26)/(Q26-R26),"")</f>
        <v/>
      </c>
      <c r="U26" s="18"/>
      <c r="V26" s="18"/>
      <c r="W26" s="17" t="str">
        <f aca="false">IFERROR((U26*V26)/(Q26-R26),"")</f>
        <v/>
      </c>
    </row>
    <row r="27" customFormat="false" ht="14.25" hidden="false" customHeight="false" outlineLevel="0" collapsed="false">
      <c r="A27" s="18"/>
      <c r="B27" s="18"/>
      <c r="C27" s="18"/>
      <c r="D27" s="18"/>
      <c r="E27" s="17" t="n">
        <f aca="false">D27-C27</f>
        <v>0</v>
      </c>
      <c r="F27" s="18"/>
      <c r="G27" s="18"/>
      <c r="H27" s="17" t="n">
        <f aca="false">F27-G27</f>
        <v>0</v>
      </c>
      <c r="I27" s="17" t="str">
        <f aca="false">IF(AND(D27&gt;C27,H27&gt;0),"Long Buildup",IF(AND(D27&lt;C27,H27&gt;0),"Short Buildup",IF(AND(D27&gt;C27,H27&lt;0),"Short Covering",IF(AND(D27&lt;C27,H27&lt;0),"Long Unwinding",""))))</f>
        <v/>
      </c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7" t="str">
        <f aca="false">IFERROR((S27-Q27)/(Q27-R27),"")</f>
        <v/>
      </c>
      <c r="U27" s="18"/>
      <c r="V27" s="18"/>
      <c r="W27" s="17" t="str">
        <f aca="false">IFERROR((U27*V27)/(Q27-R27),"")</f>
        <v/>
      </c>
    </row>
    <row r="28" customFormat="false" ht="14.25" hidden="false" customHeight="false" outlineLevel="0" collapsed="false">
      <c r="A28" s="18"/>
      <c r="B28" s="18"/>
      <c r="C28" s="18"/>
      <c r="D28" s="18"/>
      <c r="E28" s="17" t="n">
        <f aca="false">D28-C28</f>
        <v>0</v>
      </c>
      <c r="F28" s="18"/>
      <c r="G28" s="18"/>
      <c r="H28" s="17" t="n">
        <f aca="false">F28-G28</f>
        <v>0</v>
      </c>
      <c r="I28" s="17" t="str">
        <f aca="false">IF(AND(D28&gt;C28,H28&gt;0),"Long Buildup",IF(AND(D28&lt;C28,H28&gt;0),"Short Buildup",IF(AND(D28&gt;C28,H28&lt;0),"Short Covering",IF(AND(D28&lt;C28,H28&lt;0),"Long Unwinding",""))))</f>
        <v/>
      </c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7" t="str">
        <f aca="false">IFERROR((S28-Q28)/(Q28-R28),"")</f>
        <v/>
      </c>
      <c r="U28" s="18"/>
      <c r="V28" s="18"/>
      <c r="W28" s="17" t="str">
        <f aca="false">IFERROR((U28*V28)/(Q28-R28),"")</f>
        <v/>
      </c>
    </row>
    <row r="29" customFormat="false" ht="14.25" hidden="false" customHeight="false" outlineLevel="0" collapsed="false">
      <c r="A29" s="18"/>
      <c r="B29" s="18"/>
      <c r="C29" s="18"/>
      <c r="D29" s="18"/>
      <c r="E29" s="17" t="n">
        <f aca="false">D29-C29</f>
        <v>0</v>
      </c>
      <c r="F29" s="18"/>
      <c r="G29" s="18"/>
      <c r="H29" s="17" t="n">
        <f aca="false">F29-G29</f>
        <v>0</v>
      </c>
      <c r="I29" s="17" t="str">
        <f aca="false">IF(AND(D29&gt;C29,H29&gt;0),"Long Buildup",IF(AND(D29&lt;C29,H29&gt;0),"Short Buildup",IF(AND(D29&gt;C29,H29&lt;0),"Short Covering",IF(AND(D29&lt;C29,H29&lt;0),"Long Unwinding",""))))</f>
        <v/>
      </c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7" t="str">
        <f aca="false">IFERROR((S29-Q29)/(Q29-R29),"")</f>
        <v/>
      </c>
      <c r="U29" s="18"/>
      <c r="V29" s="18"/>
      <c r="W29" s="17" t="str">
        <f aca="false">IFERROR((U29*V29)/(Q29-R29),"")</f>
        <v/>
      </c>
    </row>
    <row r="30" customFormat="false" ht="14.25" hidden="false" customHeight="false" outlineLevel="0" collapsed="false">
      <c r="A30" s="18"/>
      <c r="B30" s="18"/>
      <c r="C30" s="18"/>
      <c r="D30" s="18"/>
      <c r="E30" s="17" t="n">
        <f aca="false">D30-C30</f>
        <v>0</v>
      </c>
      <c r="F30" s="18"/>
      <c r="G30" s="18"/>
      <c r="H30" s="17" t="n">
        <f aca="false">F30-G30</f>
        <v>0</v>
      </c>
      <c r="I30" s="17" t="str">
        <f aca="false">IF(AND(D30&gt;C30,H30&gt;0),"Long Buildup",IF(AND(D30&lt;C30,H30&gt;0),"Short Buildup",IF(AND(D30&gt;C30,H30&lt;0),"Short Covering",IF(AND(D30&lt;C30,H30&lt;0),"Long Unwinding",""))))</f>
        <v/>
      </c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7" t="str">
        <f aca="false">IFERROR((S30-Q30)/(Q30-R30),"")</f>
        <v/>
      </c>
      <c r="U30" s="18"/>
      <c r="V30" s="18"/>
      <c r="W30" s="17" t="str">
        <f aca="false">IFERROR((U30*V30)/(Q30-R30),"")</f>
        <v/>
      </c>
    </row>
    <row r="31" customFormat="false" ht="14.25" hidden="false" customHeight="false" outlineLevel="0" collapsed="false">
      <c r="A31" s="18"/>
      <c r="B31" s="18"/>
      <c r="C31" s="18"/>
      <c r="D31" s="18"/>
      <c r="E31" s="17" t="n">
        <f aca="false">D31-C31</f>
        <v>0</v>
      </c>
      <c r="F31" s="18"/>
      <c r="G31" s="18"/>
      <c r="H31" s="17" t="n">
        <f aca="false">F31-G31</f>
        <v>0</v>
      </c>
      <c r="I31" s="17" t="str">
        <f aca="false">IF(AND(D31&gt;C31,H31&gt;0),"Long Buildup",IF(AND(D31&lt;C31,H31&gt;0),"Short Buildup",IF(AND(D31&gt;C31,H31&lt;0),"Short Covering",IF(AND(D31&lt;C31,H31&lt;0),"Long Unwinding",""))))</f>
        <v/>
      </c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7" t="str">
        <f aca="false">IFERROR((S31-Q31)/(Q31-R31),"")</f>
        <v/>
      </c>
      <c r="U31" s="18"/>
      <c r="V31" s="18"/>
      <c r="W31" s="17" t="str">
        <f aca="false">IFERROR((U31*V31)/(Q31-R31),"")</f>
        <v/>
      </c>
    </row>
    <row r="32" customFormat="false" ht="14.25" hidden="false" customHeight="false" outlineLevel="0" collapsed="false">
      <c r="A32" s="18"/>
      <c r="B32" s="18"/>
      <c r="C32" s="18"/>
      <c r="D32" s="18"/>
      <c r="E32" s="17" t="n">
        <f aca="false">D32-C32</f>
        <v>0</v>
      </c>
      <c r="F32" s="18"/>
      <c r="G32" s="18"/>
      <c r="H32" s="17" t="n">
        <f aca="false">F32-G32</f>
        <v>0</v>
      </c>
      <c r="I32" s="17" t="str">
        <f aca="false">IF(AND(D32&gt;C32,H32&gt;0),"Long Buildup",IF(AND(D32&lt;C32,H32&gt;0),"Short Buildup",IF(AND(D32&gt;C32,H32&lt;0),"Short Covering",IF(AND(D32&lt;C32,H32&lt;0),"Long Unwinding",""))))</f>
        <v/>
      </c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7" t="str">
        <f aca="false">IFERROR((S32-Q32)/(Q32-R32),"")</f>
        <v/>
      </c>
      <c r="U32" s="18"/>
      <c r="V32" s="18"/>
      <c r="W32" s="17" t="str">
        <f aca="false">IFERROR((U32*V32)/(Q32-R32),"")</f>
        <v/>
      </c>
    </row>
    <row r="33" customFormat="false" ht="14.25" hidden="false" customHeight="false" outlineLevel="0" collapsed="false">
      <c r="A33" s="18"/>
      <c r="B33" s="18"/>
      <c r="C33" s="18"/>
      <c r="D33" s="18"/>
      <c r="E33" s="17" t="n">
        <f aca="false">D33-C33</f>
        <v>0</v>
      </c>
      <c r="F33" s="18"/>
      <c r="G33" s="18"/>
      <c r="H33" s="17" t="n">
        <f aca="false">F33-G33</f>
        <v>0</v>
      </c>
      <c r="I33" s="17" t="str">
        <f aca="false">IF(AND(D33&gt;C33,H33&gt;0),"Long Buildup",IF(AND(D33&lt;C33,H33&gt;0),"Short Buildup",IF(AND(D33&gt;C33,H33&lt;0),"Short Covering",IF(AND(D33&lt;C33,H33&lt;0),"Long Unwinding",""))))</f>
        <v/>
      </c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7" t="str">
        <f aca="false">IFERROR((S33-Q33)/(Q33-R33),"")</f>
        <v/>
      </c>
      <c r="U33" s="18"/>
      <c r="V33" s="18"/>
      <c r="W33" s="17" t="str">
        <f aca="false">IFERROR((U33*V33)/(Q33-R33),"")</f>
        <v/>
      </c>
    </row>
  </sheetData>
  <mergeCells count="1">
    <mergeCell ref="A1:U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2026-08-25T08:44:18Z</dcterms:created>
  <dc:creator>openpyxl</dc:creator>
  <dc:description/>
  <dc:language>en-US</dc:language>
  <cp:lastModifiedBy>Rahul Singh</cp:lastModifiedBy>
  <dcterms:modified xsi:type="dcterms:W3CDTF">2026-10-15T07:22:58Z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