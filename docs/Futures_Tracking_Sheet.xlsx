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ric Dictionary" sheetId="1" state="visible" r:id="rId1"/>
    <sheet xmlns:r="http://schemas.openxmlformats.org/officeDocument/2006/relationships" name="Daily Tracker" sheetId="2" state="hidden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2"/>
      <b val="1"/>
      <sz val="10"/>
    </font>
    <font>
      <name val="Arial"/>
      <charset val="1"/>
      <family val="2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8">
    <fill>
      <patternFill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 tint="-0.15"/>
        <bgColor rgb="FFBFBFBF"/>
      </patternFill>
    </fill>
    <fill>
      <patternFill patternType="solid">
        <fgColor theme="0"/>
        <bgColor rgb="FFFFFDE7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FFFFF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6" fillId="4" borderId="6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6" fillId="4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5" borderId="12" applyAlignment="1" pivotButton="0" quotePrefix="0" xfId="0">
      <alignment horizontal="general" vertical="top" wrapText="1"/>
    </xf>
    <xf numFmtId="0" fontId="9" fillId="6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9" fillId="7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0" fillId="0" borderId="14" pivotButton="0" quotePrefix="0" xfId="0"/>
    <xf numFmtId="0" fontId="6" fillId="4" borderId="6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6" fillId="4" borderId="9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6" fillId="4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5" borderId="12" applyAlignment="1" pivotButton="0" quotePrefix="0" xfId="0">
      <alignment horizontal="general" vertical="top" wrapText="1"/>
    </xf>
    <xf numFmtId="0" fontId="9" fillId="6" borderId="12" applyAlignment="1" pivotButton="0" quotePrefix="0" xfId="0">
      <alignment horizontal="general" vertical="bottom"/>
    </xf>
    <xf numFmtId="0" fontId="9" fillId="0" borderId="12" applyAlignment="1" pivotButton="0" quotePrefix="0" xfId="0">
      <alignment horizontal="general" vertical="bottom"/>
    </xf>
    <xf numFmtId="0" fontId="9" fillId="7" borderId="1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" activeCellId="0" sqref="C1"/>
    </sheetView>
  </sheetViews>
  <sheetFormatPr baseColWidth="8" defaultColWidth="8.6328125" defaultRowHeight="14.25" zeroHeight="0" outlineLevelRow="0"/>
  <cols>
    <col width="22" customWidth="1" style="19" min="1" max="1"/>
    <col width="28" customWidth="1" style="20" min="2" max="2"/>
    <col width="86.45" customWidth="1" style="20" min="3" max="3"/>
    <col width="92.27" customWidth="1" style="20" min="4" max="4"/>
  </cols>
  <sheetData>
    <row r="1" ht="22.5" customHeight="1" s="21">
      <c r="A1" s="22" t="inlineStr">
        <is>
          <t>Category</t>
        </is>
      </c>
      <c r="B1" s="22" t="inlineStr">
        <is>
          <t>Metric</t>
        </is>
      </c>
      <c r="C1" s="22" t="inlineStr">
        <is>
          <t>Definition</t>
        </is>
      </c>
      <c r="D1" s="22" t="inlineStr">
        <is>
          <t>Primary Data Source (India F&amp;O)</t>
        </is>
      </c>
    </row>
    <row r="2" ht="22.5" customFormat="1" customHeight="1" s="23">
      <c r="A2" s="24" t="inlineStr">
        <is>
          <t>Price &amp; Basis</t>
        </is>
      </c>
      <c r="B2" s="25" t="inlineStr">
        <is>
          <t>Spot Price</t>
        </is>
      </c>
      <c r="C2" s="26" t="inlineStr">
        <is>
          <t>Current market price of the underlying asset in the cash market</t>
        </is>
      </c>
      <c r="D2" s="27" t="inlineStr">
        <is>
          <t>NSE India (nseindia.com) → Market Data → Equity; or broker terminal (Zerodha Kite, Sensibull)</t>
        </is>
      </c>
    </row>
    <row r="3" ht="22.5" customFormat="1" customHeight="1" s="23">
      <c r="A3" s="28" t="n"/>
      <c r="B3" s="29" t="inlineStr">
        <is>
          <t>Futures Price</t>
        </is>
      </c>
      <c r="C3" s="30" t="inlineStr">
        <is>
          <t>Current traded price of the futures contract</t>
        </is>
      </c>
      <c r="D3" s="31" t="inlineStr">
        <is>
          <t>NSE India → Market Data → Equity Derivatives → Futures quote page</t>
        </is>
      </c>
    </row>
    <row r="4" ht="22.5" customFormat="1" customHeight="1" s="23">
      <c r="A4" s="28" t="n"/>
      <c r="B4" s="29" t="inlineStr">
        <is>
          <t>Basis</t>
        </is>
      </c>
      <c r="C4" s="30" t="inlineStr">
        <is>
          <t>Futures Price minus Spot Price. Positive = premium (contango); Negative = discount (backwardation)</t>
        </is>
      </c>
      <c r="D4" s="31" t="inlineStr">
        <is>
          <t>Calculated (Futures Price − Spot Price), both from NSE India</t>
        </is>
      </c>
    </row>
    <row r="5" ht="22.5" customFormat="1" customHeight="1" s="23">
      <c r="A5" s="28" t="n"/>
      <c r="B5" s="29" t="inlineStr">
        <is>
          <t>Basis Trend</t>
        </is>
      </c>
      <c r="C5" s="30" t="inlineStr">
        <is>
          <t>Whether basis is widening or converging as expiry approaches (should converge to zero at expiry)</t>
        </is>
      </c>
      <c r="D5" s="31" t="inlineStr">
        <is>
          <t>Calculated daily from NSE India basis values, tracked over time</t>
        </is>
      </c>
    </row>
    <row r="6" ht="22.5" customFormat="1" customHeight="1" s="23">
      <c r="A6" s="28" t="n"/>
      <c r="B6" s="29" t="inlineStr">
        <is>
          <t>Fair Value / Theoretical Futures Price</t>
        </is>
      </c>
      <c r="C6" s="30" t="inlineStr">
        <is>
          <t>Spot x (1 + Risk-free rate x time/365) minus Dividends — what the futures price should theoretically be</t>
        </is>
      </c>
      <c r="D6" s="31" t="inlineStr">
        <is>
          <t>Calculated; risk-free rate from RBI repo rate / 91-day T-bill (rbi.org.in), dividend data from NSE corporate announcements</t>
        </is>
      </c>
    </row>
    <row r="7" ht="22.5" customFormat="1" customHeight="1" s="23">
      <c r="A7" s="32" t="n"/>
      <c r="B7" s="33" t="inlineStr">
        <is>
          <t>Mispricing %</t>
        </is>
      </c>
      <c r="C7" s="34" t="inlineStr">
        <is>
          <t>(Actual Futures Price − Fair Value) / Fair Value — flags overpriced/underpriced contracts</t>
        </is>
      </c>
      <c r="D7" s="35" t="inlineStr">
        <is>
          <t>Calculated from Fair Value formula above</t>
        </is>
      </c>
    </row>
    <row r="8" ht="22.5" customFormat="1" customHeight="1" s="23">
      <c r="A8" s="24" t="inlineStr">
        <is>
          <t>Open Interest</t>
        </is>
      </c>
      <c r="B8" s="25" t="inlineStr">
        <is>
          <t>Open Interest (OI)</t>
        </is>
      </c>
      <c r="C8" s="26" t="inlineStr">
        <is>
          <t>Total number of outstanding (not yet squared-off) futures contracts</t>
        </is>
      </c>
      <c r="D8" s="27" t="inlineStr">
        <is>
          <t>NSE India → Market Data → Equity Derivatives → Open Interest; or nseindia.com/report-detail/fo_eq (Bhavcopy)</t>
        </is>
      </c>
    </row>
    <row r="9" ht="22.5" customFormat="1" customHeight="1" s="23">
      <c r="A9" s="28" t="n"/>
      <c r="B9" s="29" t="inlineStr">
        <is>
          <t>OI Change (Δ OI)</t>
        </is>
      </c>
      <c r="C9" s="30" t="inlineStr">
        <is>
          <t>Change in OI vs previous session, shows fresh positions entering/exiting</t>
        </is>
      </c>
      <c r="D9" s="31" t="inlineStr">
        <is>
          <t>NSE India daily OI report (calculated vs previous day)</t>
        </is>
      </c>
    </row>
    <row r="10" ht="22.5" customFormat="1" customHeight="1" s="23">
      <c r="A10" s="28" t="n"/>
      <c r="B10" s="29" t="inlineStr">
        <is>
          <t>Long Buildup</t>
        </is>
      </c>
      <c r="C10" s="30" t="inlineStr">
        <is>
          <t>Price up + OI up → new long positions being added (bullish)</t>
        </is>
      </c>
      <c r="D10" s="31" t="inlineStr">
        <is>
          <t>Derived from NSE OI + price data; also on Sensibull, Opstra, ChartInk 'OI gainers' screens</t>
        </is>
      </c>
    </row>
    <row r="11" ht="22.5" customFormat="1" customHeight="1" s="23">
      <c r="A11" s="28" t="n"/>
      <c r="B11" s="29" t="inlineStr">
        <is>
          <t>Short Buildup</t>
        </is>
      </c>
      <c r="C11" s="30" t="inlineStr">
        <is>
          <t>Price down + OI up → new short positions being added (bearish)</t>
        </is>
      </c>
      <c r="D11" s="31" t="inlineStr">
        <is>
          <t>Same as above</t>
        </is>
      </c>
    </row>
    <row r="12" ht="22.5" customFormat="1" customHeight="1" s="23">
      <c r="A12" s="28" t="n"/>
      <c r="B12" s="29" t="inlineStr">
        <is>
          <t>Short Covering</t>
        </is>
      </c>
      <c r="C12" s="30" t="inlineStr">
        <is>
          <t>Price up + OI down → shorts exiting positions (temporary bullish, not fresh conviction)</t>
        </is>
      </c>
      <c r="D12" s="31" t="inlineStr">
        <is>
          <t>Same as above</t>
        </is>
      </c>
    </row>
    <row r="13" ht="22.5" customFormat="1" customHeight="1" s="23">
      <c r="A13" s="28" t="n"/>
      <c r="B13" s="29" t="inlineStr">
        <is>
          <t>Long Unwinding</t>
        </is>
      </c>
      <c r="C13" s="30" t="inlineStr">
        <is>
          <t>Price down + OI down → longs exiting positions (weak, not fresh bearish conviction)</t>
        </is>
      </c>
      <c r="D13" s="31" t="inlineStr">
        <is>
          <t>Same as above</t>
        </is>
      </c>
    </row>
    <row r="14" ht="22.5" customFormat="1" customHeight="1" s="23">
      <c r="A14" s="32" t="n"/>
      <c r="B14" s="33" t="inlineStr">
        <is>
          <t>OI Concentration</t>
        </is>
      </c>
      <c r="C14" s="34" t="inlineStr">
        <is>
          <t>% of OI held in near-month vs far-month contracts — shows where activity is focused</t>
        </is>
      </c>
      <c r="D14" s="35" t="inlineStr">
        <is>
          <t>NSE India → Derivatives → Participant-wise OI / contract-wise OI breakup</t>
        </is>
      </c>
    </row>
    <row r="15" ht="22.5" customFormat="1" customHeight="1" s="23">
      <c r="A15" s="24" t="inlineStr">
        <is>
          <t>Volume</t>
        </is>
      </c>
      <c r="B15" s="25" t="inlineStr">
        <is>
          <t>Daily Traded Volume</t>
        </is>
      </c>
      <c r="C15" s="26" t="inlineStr">
        <is>
          <t>Number of contracts traded in a session</t>
        </is>
      </c>
      <c r="D15" s="27" t="inlineStr">
        <is>
          <t>NSE India Bhavcopy / Market Data → Equity Derivatives</t>
        </is>
      </c>
    </row>
    <row r="16" ht="22.5" customFormat="1" customHeight="1" s="23">
      <c r="A16" s="28" t="n"/>
      <c r="B16" s="29" t="inlineStr">
        <is>
          <t>Volume vs Average Volume</t>
        </is>
      </c>
      <c r="C16" s="30" t="inlineStr">
        <is>
          <t>Current volume compared to 20/50-day average — confirms conviction behind a move</t>
        </is>
      </c>
      <c r="D16" s="31" t="inlineStr">
        <is>
          <t>Calculated from NSE historical volume data, or TradingView/ChartInk indicator</t>
        </is>
      </c>
    </row>
    <row r="17" ht="22.5" customFormat="1" customHeight="1" s="23">
      <c r="A17" s="32" t="n"/>
      <c r="B17" s="33" t="inlineStr">
        <is>
          <t>Volume-OI Divergence</t>
        </is>
      </c>
      <c r="C17" s="34" t="inlineStr">
        <is>
          <t>High volume with flat/falling OI = intraday trading not positional buildup (weaker signal)</t>
        </is>
      </c>
      <c r="D17" s="35" t="inlineStr">
        <is>
          <t>Calculated by combining NSE volume + OI reports</t>
        </is>
      </c>
    </row>
    <row r="18" ht="22.5" customFormat="1" customHeight="1" s="23">
      <c r="A18" s="24" t="inlineStr">
        <is>
          <t>Rollover</t>
        </is>
      </c>
      <c r="B18" s="25" t="inlineStr">
        <is>
          <t>Rollover %</t>
        </is>
      </c>
      <c r="C18" s="26" t="inlineStr">
        <is>
          <t>% of current-month OI shifted to next-month contract as expiry nears</t>
        </is>
      </c>
      <c r="D18" s="27" t="inlineStr">
        <is>
          <t>NSE India → Derivatives → Rollover data (published from ~1 week before expiry); also Moneycontrol/Trendlyne rollover reports</t>
        </is>
      </c>
    </row>
    <row r="19" ht="22.5" customFormat="1" customHeight="1" s="23">
      <c r="A19" s="28" t="n"/>
      <c r="B19" s="29" t="inlineStr">
        <is>
          <t>Market-Wide Rollover</t>
        </is>
      </c>
      <c r="C19" s="30" t="inlineStr">
        <is>
          <t>Average rollover % across all F&amp;O stocks/index — benchmark for comparison</t>
        </is>
      </c>
      <c r="D19" s="31" t="inlineStr">
        <is>
          <t>NSE India monthly rollover report; brokerage rollover reports (Motilal Oswal, ICICI Direct publish these free)</t>
        </is>
      </c>
    </row>
    <row r="20" ht="22.5" customFormat="1" customHeight="1" s="23">
      <c r="A20" s="32" t="n"/>
      <c r="B20" s="33" t="inlineStr">
        <is>
          <t>Rollover Cost</t>
        </is>
      </c>
      <c r="C20" s="34" t="inlineStr">
        <is>
          <t>Premium paid to roll to next series; high cost + high rollover = strong conviction to carry position</t>
        </is>
      </c>
      <c r="D20" s="35" t="inlineStr">
        <is>
          <t>Calculated: (Next-month futures price − Current-month futures price), from NSE India</t>
        </is>
      </c>
    </row>
    <row r="21" ht="22.5" customFormat="1" customHeight="1" s="23">
      <c r="A21" s="24" t="inlineStr">
        <is>
          <t>Cost of Carry / Margin</t>
        </is>
      </c>
      <c r="B21" s="25" t="inlineStr">
        <is>
          <t>Cost of Carry</t>
        </is>
      </c>
      <c r="C21" s="26" t="inlineStr">
        <is>
          <t>Net cost of holding the underlying until expiry (interest cost minus dividend yield)</t>
        </is>
      </c>
      <c r="D21" s="27" t="inlineStr">
        <is>
          <t>Calculated using RBI repo/T-bill rate (rbi.org.in) and NSE dividend announcements</t>
        </is>
      </c>
    </row>
    <row r="22" ht="22.5" customFormat="1" customHeight="1" s="23">
      <c r="A22" s="28" t="n"/>
      <c r="B22" s="29" t="inlineStr">
        <is>
          <t>SPAN Margin</t>
        </is>
      </c>
      <c r="C22" s="30" t="inlineStr">
        <is>
          <t>Exchange-mandated margin based on worst-case one-day loss scenario</t>
        </is>
      </c>
      <c r="D22" s="31" t="inlineStr">
        <is>
          <t>NSE India → NSE Clearing (NSE Clearing) SPAN margin calculator; or broker margin calculator (Zerodha, Upstox)</t>
        </is>
      </c>
    </row>
    <row r="23" ht="22.5" customFormat="1" customHeight="1" s="23">
      <c r="A23" s="28" t="n"/>
      <c r="B23" s="29" t="inlineStr">
        <is>
          <t>Exposure Margin</t>
        </is>
      </c>
      <c r="C23" s="30" t="inlineStr">
        <is>
          <t>Additional margin over SPAN, covering extra volatility risk</t>
        </is>
      </c>
      <c r="D23" s="31" t="inlineStr">
        <is>
          <t>Same as SPAN — NSE Clearing margin calculator / broker margin calculator</t>
        </is>
      </c>
    </row>
    <row r="24" ht="22.5" customFormat="1" customHeight="1" s="23">
      <c r="A24" s="28" t="n"/>
      <c r="B24" s="29" t="inlineStr">
        <is>
          <t>Margin Utilization %</t>
        </is>
      </c>
      <c r="C24" s="30" t="inlineStr">
        <is>
          <t>Margin blocked / total capital available — determines effective leverage</t>
        </is>
      </c>
      <c r="D24" s="31" t="inlineStr">
        <is>
          <t>Calculated from your own broker account (trading terminal / contract note)</t>
        </is>
      </c>
    </row>
    <row r="25" ht="22.5" customFormat="1" customHeight="1" s="23">
      <c r="A25" s="32" t="n"/>
      <c r="B25" s="33" t="inlineStr">
        <is>
          <t>Mark-to-Market (MTM)</t>
        </is>
      </c>
      <c r="C25" s="34" t="inlineStr">
        <is>
          <t>Daily profit/loss settled on open futures positions</t>
        </is>
      </c>
      <c r="D25" s="35" t="inlineStr">
        <is>
          <t>Broker contract note / trading terminal (daily settlement report)</t>
        </is>
      </c>
    </row>
    <row r="26" ht="22.5" customFormat="1" customHeight="1" s="23">
      <c r="A26" s="24" t="inlineStr">
        <is>
          <t>Volatility</t>
        </is>
      </c>
      <c r="B26" s="25" t="inlineStr">
        <is>
          <t>Historical Volatility (HV)</t>
        </is>
      </c>
      <c r="C26" s="26" t="inlineStr">
        <is>
          <t>Standard deviation of past price returns, annualized — measures actual realized volatility</t>
        </is>
      </c>
      <c r="D26" s="27" t="inlineStr">
        <is>
          <t>Calculated from NSE historical price data, or available on Sensibull/Opstra</t>
        </is>
      </c>
    </row>
    <row r="27" ht="22.5" customFormat="1" customHeight="1" s="23">
      <c r="A27" s="28" t="n"/>
      <c r="B27" s="29" t="inlineStr">
        <is>
          <t>Implied Volatility (IV)</t>
        </is>
      </c>
      <c r="C27" s="30" t="inlineStr">
        <is>
          <t>Market's forward-looking volatility estimate, derived from options prices on same underlying</t>
        </is>
      </c>
      <c r="D27" s="31" t="inlineStr">
        <is>
          <t>NSE India Option Chain page; Sensibull, Opstra, or Investing.com options data</t>
        </is>
      </c>
    </row>
    <row r="28" ht="22.5" customFormat="1" customHeight="1" s="23">
      <c r="A28" s="28" t="n"/>
      <c r="B28" s="29" t="inlineStr">
        <is>
          <t>IV Percentile / IV Rank</t>
        </is>
      </c>
      <c r="C28" s="30" t="inlineStr">
        <is>
          <t>Where current IV sits relative to its own past 1-year range — high rank = elevated event risk priced in</t>
        </is>
      </c>
      <c r="D28" s="31" t="inlineStr">
        <is>
          <t>Sensibull IV Rank tool; Opstra Definedge</t>
        </is>
      </c>
    </row>
    <row r="29" ht="22.5" customFormat="1" customHeight="1" s="23">
      <c r="A29" s="32" t="n"/>
      <c r="B29" s="33" t="inlineStr">
        <is>
          <t>ATR (Average True Range)</t>
        </is>
      </c>
      <c r="C29" s="34" t="inlineStr">
        <is>
          <t>Average daily price range over N periods (commonly 14) — used for stop-loss sizing</t>
        </is>
      </c>
      <c r="D29" s="35" t="inlineStr">
        <is>
          <t>TradingView, ChartInk, or calculated in Excel/Python from OHLC data (NSE historical data / Yahoo Finance)</t>
        </is>
      </c>
    </row>
    <row r="30" ht="22.5" customFormat="1" customHeight="1" s="23">
      <c r="A30" s="24" t="inlineStr">
        <is>
          <t>Trend &amp; Technicals</t>
        </is>
      </c>
      <c r="B30" s="25" t="inlineStr">
        <is>
          <t>Moving Averages (20/50/200 DMA)</t>
        </is>
      </c>
      <c r="C30" s="26" t="inlineStr">
        <is>
          <t>Average closing price over N days — used to gauge trend direction</t>
        </is>
      </c>
      <c r="D30" s="27" t="inlineStr">
        <is>
          <t>TradingView, ChartInk, Investing.com; or calculated from NSE historical price data</t>
        </is>
      </c>
    </row>
    <row r="31" ht="22.5" customFormat="1" customHeight="1" s="23">
      <c r="A31" s="28" t="n"/>
      <c r="B31" s="29" t="inlineStr">
        <is>
          <t>RSI (Relative Strength Index)</t>
        </is>
      </c>
      <c r="C31" s="30" t="inlineStr">
        <is>
          <t>Momentum oscillator (0-100); above 70 overbought, below 30 oversold</t>
        </is>
      </c>
      <c r="D31" s="31" t="inlineStr">
        <is>
          <t>TradingView, ChartInk</t>
        </is>
      </c>
    </row>
    <row r="32" ht="22.5" customFormat="1" customHeight="1" s="23">
      <c r="A32" s="28" t="n"/>
      <c r="B32" s="29" t="inlineStr">
        <is>
          <t>MACD</t>
        </is>
      </c>
      <c r="C32" s="30" t="inlineStr">
        <is>
          <t>Trend-following momentum indicator (difference of two EMAs + signal line)</t>
        </is>
      </c>
      <c r="D32" s="31" t="inlineStr">
        <is>
          <t>TradingView, ChartInk</t>
        </is>
      </c>
    </row>
    <row r="33" ht="22.5" customFormat="1" customHeight="1" s="23">
      <c r="A33" s="28" t="n"/>
      <c r="B33" s="29" t="inlineStr">
        <is>
          <t>VWAP (Volume Weighted Average Price)</t>
        </is>
      </c>
      <c r="C33" s="30" t="inlineStr">
        <is>
          <t>Average price weighted by volume — intraday benchmark for entry/exit</t>
        </is>
      </c>
      <c r="D33" s="31" t="inlineStr">
        <is>
          <t>Broker trading terminal (Kite, Sensibull), TradingView</t>
        </is>
      </c>
    </row>
    <row r="34" ht="22.5" customFormat="1" customHeight="1" s="23">
      <c r="A34" s="32" t="n"/>
      <c r="B34" s="33" t="inlineStr">
        <is>
          <t>Support/Resistance Levels</t>
        </is>
      </c>
      <c r="C34" s="34" t="inlineStr">
        <is>
          <t>Price zones where reversals/consolidation historically occurred</t>
        </is>
      </c>
      <c r="D34" s="35" t="inlineStr">
        <is>
          <t>Chart analysis — TradingView, ChartInk</t>
        </is>
      </c>
    </row>
    <row r="35" ht="22.5" customFormat="1" customHeight="1" s="23">
      <c r="A35" s="24" t="inlineStr">
        <is>
          <t>Sentiment / Market-Wide</t>
        </is>
      </c>
      <c r="B35" s="25" t="inlineStr">
        <is>
          <t>PCR (Put-Call Ratio)</t>
        </is>
      </c>
      <c r="C35" s="26" t="inlineStr">
        <is>
          <t>Put OI / Call OI — high PCR (&gt;1) signals bearish hedging/bullish contrarian; low PCR = bullish positioning</t>
        </is>
      </c>
      <c r="D35" s="27" t="inlineStr">
        <is>
          <t>NSE India → Option Chain page (PCR shown directly); Sensibull</t>
        </is>
      </c>
    </row>
    <row r="36" ht="22.5" customFormat="1" customHeight="1" s="23">
      <c r="A36" s="28" t="n"/>
      <c r="B36" s="29" t="inlineStr">
        <is>
          <t>India VIX</t>
        </is>
      </c>
      <c r="C36" s="30" t="inlineStr">
        <is>
          <t>Market's expected volatility over next 30 days — high VIX = fear/uncertainty</t>
        </is>
      </c>
      <c r="D36" s="31" t="inlineStr">
        <is>
          <t>NSE India → India VIX page (live); nseindia.com/reports/indices</t>
        </is>
      </c>
    </row>
    <row r="37" ht="22.5" customFormat="1" customHeight="1" s="23">
      <c r="A37" s="28" t="n"/>
      <c r="B37" s="29" t="inlineStr">
        <is>
          <t>FII/DII Futures Positioning</t>
        </is>
      </c>
      <c r="C37" s="30" t="inlineStr">
        <is>
          <t>Net long/short data of institutional players in index futures — proxy for smart money direction</t>
        </is>
      </c>
      <c r="D37" s="31" t="inlineStr">
        <is>
          <t>NSE India → Reports → FII &amp; DII trading activity; also published daily on Moneycontrol, NSDL</t>
        </is>
      </c>
    </row>
    <row r="38" ht="22.5" customFormat="1" customHeight="1" s="23">
      <c r="A38" s="32" t="n"/>
      <c r="B38" s="33" t="inlineStr">
        <is>
          <t>Sector/Index Correlation</t>
        </is>
      </c>
      <c r="C38" s="34" t="inlineStr">
        <is>
          <t>How correlated the stock's move is with its sector index or benchmark</t>
        </is>
      </c>
      <c r="D38" s="35" t="inlineStr">
        <is>
          <t>Calculated (correlation formula) from NSE historical price data across stock + index</t>
        </is>
      </c>
    </row>
    <row r="39" ht="22.5" customFormat="1" customHeight="1" s="23">
      <c r="A39" s="24" t="inlineStr">
        <is>
          <t>Fundamental / Event</t>
        </is>
      </c>
      <c r="B39" s="25" t="inlineStr">
        <is>
          <t>Earnings Date</t>
        </is>
      </c>
      <c r="C39" s="26" t="inlineStr">
        <is>
          <t>Upcoming results date — volatility risk event</t>
        </is>
      </c>
      <c r="D39" s="27" t="inlineStr">
        <is>
          <t>NSE India corporate announcements; Screener.in, Moneycontrol earnings calendar</t>
        </is>
      </c>
    </row>
    <row r="40" ht="22.5" customFormat="1" customHeight="1" s="23">
      <c r="A40" s="28" t="n"/>
      <c r="B40" s="29" t="inlineStr">
        <is>
          <t>Corporate Actions</t>
        </is>
      </c>
      <c r="C40" s="30" t="inlineStr">
        <is>
          <t>Dividends, bonus, splits — affect fair value and can trigger contract adjustments</t>
        </is>
      </c>
      <c r="D40" s="31" t="inlineStr">
        <is>
          <t>NSE India → Corporate Announcements / Corporate Actions page</t>
        </is>
      </c>
    </row>
    <row r="41" ht="22.5" customFormat="1" customHeight="1" s="23">
      <c r="A41" s="28" t="n"/>
      <c r="B41" s="29" t="inlineStr">
        <is>
          <t>Macro Events</t>
        </is>
      </c>
      <c r="C41" s="30" t="inlineStr">
        <is>
          <t>RBI policy, Fed decisions, budget, inflation data — systemic volatility triggers</t>
        </is>
      </c>
      <c r="D41" s="31" t="inlineStr">
        <is>
          <t>RBI (rbi.org.in), Trading Economics economic calendar, Investing.com economic calendar</t>
        </is>
      </c>
    </row>
    <row r="42" ht="22.5" customFormat="1" customHeight="1" s="23">
      <c r="A42" s="32" t="n"/>
      <c r="B42" s="33" t="inlineStr">
        <is>
          <t>F&amp;O Ban List Status</t>
        </is>
      </c>
      <c r="C42" s="34" t="inlineStr">
        <is>
          <t>Stock crossing 95% of Market-Wide Position Limit (MWPL) — no new positions allowed</t>
        </is>
      </c>
      <c r="D42" s="35" t="inlineStr">
        <is>
          <t>NSE India → Reports → Securities in Ban Period (published daily)</t>
        </is>
      </c>
    </row>
    <row r="43" ht="22.5" customFormat="1" customHeight="1" s="23">
      <c r="A43" s="24" t="inlineStr">
        <is>
          <t>Option Greeks</t>
        </is>
      </c>
      <c r="B43" s="25" t="inlineStr">
        <is>
          <t>Delta</t>
        </is>
      </c>
      <c r="C43" s="26" t="inlineStr">
        <is>
          <t>Change in option price for a 1-point move in the underlying (0 to 1 for calls, 0 to −1 for puts) — used to choose strikes and estimate P&amp;L per point</t>
        </is>
      </c>
      <c r="D43" s="27" t="inlineStr">
        <is>
          <t>Groww Trade API → Option Chain (Greeks); verify field on live account. Fallback: calculated via Black-Scholes from option price, spot, strike, days to expiry, IV</t>
        </is>
      </c>
    </row>
    <row r="44" ht="22.5" customFormat="1" customHeight="1" s="23">
      <c r="A44" s="28" t="n"/>
      <c r="B44" s="29" t="inlineStr">
        <is>
          <t>Gamma</t>
        </is>
      </c>
      <c r="C44" s="30" t="inlineStr">
        <is>
          <t>Rate of change of Delta per 1-point move in the underlying — high near ATM and close to expiry, makes P&amp;L swing faster</t>
        </is>
      </c>
      <c r="D44" s="31" t="inlineStr">
        <is>
          <t>Groww Trade API → Option Chain (Greeks); verify field. Fallback: calculated via Black-Scholes</t>
        </is>
      </c>
    </row>
    <row r="45" ht="22.5" customFormat="1" customHeight="1" s="23">
      <c r="A45" s="28" t="n"/>
      <c r="B45" s="29" t="inlineStr">
        <is>
          <t>Theta</t>
        </is>
      </c>
      <c r="C45" s="30" t="inlineStr">
        <is>
          <t>Option value lost per day purely from time passing (time decay) — the daily cost of holding a bought option; accelerates in the last weeks before expiry</t>
        </is>
      </c>
      <c r="D45" s="31" t="inlineStr">
        <is>
          <t>Groww Trade API → Option Chain (Greeks); verify field. Fallback: calculated via Black-Scholes</t>
        </is>
      </c>
    </row>
    <row r="46" ht="22.5" customFormat="1" customHeight="1" s="23">
      <c r="A46" s="32" t="n"/>
      <c r="B46" s="33" t="inlineStr">
        <is>
          <t>Vega</t>
        </is>
      </c>
      <c r="C46" s="34" t="inlineStr">
        <is>
          <t>Change in option price for a 1-point change in Implied Volatility — shows how much a fall in IV (IV crush) can hurt a bought option</t>
        </is>
      </c>
      <c r="D46" s="35" t="inlineStr">
        <is>
          <t>Groww Trade API → Option Chain (Greeks); verify field. Fallback: calculated via Black-Scholes</t>
        </is>
      </c>
    </row>
    <row r="47" ht="22.5" customFormat="1" customHeight="1" s="23">
      <c r="A47" s="24" t="inlineStr">
        <is>
          <t>Option Pricing / IV Analysis</t>
        </is>
      </c>
      <c r="B47" s="25" t="inlineStr">
        <is>
          <t>IV vs HV (IV/HV Ratio)</t>
        </is>
      </c>
      <c r="C47" s="26" t="inlineStr">
        <is>
          <t>Implied Volatility ÷ Historical Volatility. Ratio well above 1 = options expensive (prefer spreads over plain buying); near/below 1 = options relatively cheap</t>
        </is>
      </c>
      <c r="D47" s="27" t="inlineStr">
        <is>
          <t>Calculated: IV from Groww Trade API (Quote / Option Chain); HV calculated from Groww Trade API historical candles</t>
        </is>
      </c>
    </row>
    <row r="48" ht="22.5" customHeight="1" s="21">
      <c r="A48" s="28" t="n"/>
      <c r="B48" s="29" t="inlineStr">
        <is>
          <t>Expected Move (ATM Straddle)</t>
        </is>
      </c>
      <c r="C48" s="30" t="inlineStr">
        <is>
          <t>Move the market has priced in until expiry ≈ ATM Call premium + ATM Put premium (or Spot × IV × √(Days to Expiry/365)). If target is smaller than expected move, the buy has poor odds</t>
        </is>
      </c>
      <c r="D48" s="31" t="inlineStr">
        <is>
          <t>Calculated from ATM call/put prices in Groww Trade API Option Chain</t>
        </is>
      </c>
    </row>
    <row r="49" ht="22.5" customHeight="1" s="21">
      <c r="A49" s="28" t="n"/>
      <c r="B49" s="29" t="inlineStr">
        <is>
          <t>IV Skew</t>
        </is>
      </c>
      <c r="C49" s="30" t="inlineStr">
        <is>
          <t>Difference in IV between equidistant OTM puts and OTM calls (e.g. 25-delta put IV − 25-delta call IV) — shows whether downside or upside protection is more expensive</t>
        </is>
      </c>
      <c r="D49" s="31" t="inlineStr">
        <is>
          <t>Calculated from strike-wise IV in Groww Trade API Option Chain</t>
        </is>
      </c>
    </row>
    <row r="50" ht="22.5" customHeight="1" s="21">
      <c r="A50" s="28" t="n"/>
      <c r="B50" s="29" t="inlineStr">
        <is>
          <t>Event IV Crush Risk</t>
        </is>
      </c>
      <c r="C50" s="30" t="inlineStr">
        <is>
          <t>Flag when a scheduled event (results, RBI, Budget, Fed) falls before planned exit — IV usually drops sharply after the event, reducing premium even if price moves in your favour</t>
        </is>
      </c>
      <c r="D50" s="31" t="inlineStr">
        <is>
          <t>Calculated: event calendar (NSE corporate announcements, RBI, economic calendar) + IV history stored daily from Groww</t>
        </is>
      </c>
    </row>
    <row r="51" ht="22.5" customHeight="1" s="21">
      <c r="A51" s="32" t="n"/>
      <c r="B51" s="33" t="inlineStr">
        <is>
          <t>IV History (Daily Store)</t>
        </is>
      </c>
      <c r="C51" s="34" t="inlineStr">
        <is>
          <t>Daily snapshot of ATM IV per instrument saved in our own database — required to compute IV Rank / IV Percentile (needs ~1 year of history)</t>
        </is>
      </c>
      <c r="D51" s="35" t="inlineStr">
        <is>
          <t>Self-collected daily from Groww Trade API Option Chain (Groww does not provide historical IV)</t>
        </is>
      </c>
    </row>
    <row r="52" ht="22.5" customHeight="1" s="21">
      <c r="A52" s="24" t="inlineStr">
        <is>
          <t>Option Chain / Strike Selection</t>
        </is>
      </c>
      <c r="B52" s="25" t="inlineStr">
        <is>
          <t>Strike-wise OI</t>
        </is>
      </c>
      <c r="C52" s="26" t="inlineStr">
        <is>
          <t>Open interest at each strike for calls and puts — highest call OI strike often acts as resistance, highest put OI strike as support</t>
        </is>
      </c>
      <c r="D52" s="27" t="inlineStr">
        <is>
          <t>Groww Trade API → Option Chain</t>
        </is>
      </c>
    </row>
    <row r="53" ht="22.5" customHeight="1" s="21">
      <c r="A53" s="28" t="n"/>
      <c r="B53" s="29" t="inlineStr">
        <is>
          <t>Strike-wise OI Change</t>
        </is>
      </c>
      <c r="C53" s="30" t="inlineStr">
        <is>
          <t>Change in OI at each strike vs previous session — shows where fresh call/put writing or unwinding is happening</t>
        </is>
      </c>
      <c r="D53" s="31" t="inlineStr">
        <is>
          <t>Calculated from Groww Trade API Option Chain snapshots (stored daily)</t>
        </is>
      </c>
    </row>
    <row r="54" ht="22.5" customHeight="1" s="21">
      <c r="A54" s="28" t="n"/>
      <c r="B54" s="29" t="inlineStr">
        <is>
          <t>Max Pain</t>
        </is>
      </c>
      <c r="C54" s="30" t="inlineStr">
        <is>
          <t>Strike at which total value of outstanding calls + puts is lowest at expiry (maximum loss to option buyers) — context only, never a standalone signal</t>
        </is>
      </c>
      <c r="D54" s="31" t="inlineStr">
        <is>
          <t>Calculated from strike-wise OI in Groww Trade API Option Chain</t>
        </is>
      </c>
    </row>
    <row r="55" ht="22.5" customHeight="1" s="21">
      <c r="A55" s="28" t="n"/>
      <c r="B55" s="29" t="inlineStr">
        <is>
          <t>Days to Expiry (DTE)</t>
        </is>
      </c>
      <c r="C55" s="30" t="inlineStr">
        <is>
          <t>Calendar/trading days left until contract expiry — positional buys prefer ≥15–20 days at entry and exit before the last week</t>
        </is>
      </c>
      <c r="D55" s="31" t="inlineStr">
        <is>
          <t>Calculated from expiry date in Groww Trade API instruments list</t>
        </is>
      </c>
    </row>
    <row r="56" ht="22.5" customHeight="1" s="21">
      <c r="A56" s="32" t="n"/>
      <c r="B56" s="33" t="inlineStr">
        <is>
          <t>Option Liquidity (Bid-Ask Spread %)</t>
        </is>
      </c>
      <c r="C56" s="34" t="inlineStr">
        <is>
          <t>(Ask − Bid) ÷ Mid price × 100, plus minimum volume and OI at the strike — wide spreads or thin volume mean poor fills and costly exits</t>
        </is>
      </c>
      <c r="D56" s="35" t="inlineStr">
        <is>
          <t>Groww Trade API → Quote (market depth / bid-ask), Option Chain (volume, OI)</t>
        </is>
      </c>
    </row>
    <row r="57" ht="22.5" customHeight="1" s="21">
      <c r="A57" s="24" t="inlineStr">
        <is>
          <t>Trend Strength &amp; Relative Strength</t>
        </is>
      </c>
      <c r="B57" s="25" t="inlineStr">
        <is>
          <t>ADX (Average Directional Index)</t>
        </is>
      </c>
      <c r="C57" s="26" t="inlineStr">
        <is>
          <t>Trend strength on a 0–100 scale (commonly 14 periods); above ~20–25 = trending, below = sideways. Measures strength only, not direction (use +DI/−DI for direction)</t>
        </is>
      </c>
      <c r="D57" s="27" t="inlineStr">
        <is>
          <t>Calculated from OHLC candles (Groww Trade API historical data)</t>
        </is>
      </c>
    </row>
    <row r="58" ht="22.5" customHeight="1" s="21">
      <c r="A58" s="28" t="n"/>
      <c r="B58" s="29" t="inlineStr">
        <is>
          <t>Weekly / Multi-Timeframe Trend</t>
        </is>
      </c>
      <c r="C58" s="30" t="inlineStr">
        <is>
          <t>Trend direction on weekly vs daily chart (e.g. price vs 20/50 EMA on each) — positional trades should align with the higher-timeframe trend</t>
        </is>
      </c>
      <c r="D58" s="31" t="inlineStr">
        <is>
          <t>Calculated from daily and weekly candles (Groww Trade API historical data)</t>
        </is>
      </c>
    </row>
    <row r="59" ht="22.5" customHeight="1" s="21">
      <c r="A59" s="32" t="n"/>
      <c r="B59" s="33" t="inlineStr">
        <is>
          <t>Relative Strength vs NIFTY</t>
        </is>
      </c>
      <c r="C59" s="34" t="inlineStr">
        <is>
          <t>Stock return ÷ NIFTY return over the same period (e.g. 20 days) — buy calls on the strongest, puts on the weakest names in the pool</t>
        </is>
      </c>
      <c r="D59" s="35" t="inlineStr">
        <is>
          <t>Calculated from Groww Trade API historical candles of stock and NIFTY</t>
        </is>
      </c>
    </row>
    <row r="60" ht="22.5" customHeight="1" s="21">
      <c r="A60" s="24" t="inlineStr">
        <is>
          <t>Global / Macro Proxies</t>
        </is>
      </c>
      <c r="B60" s="25" t="inlineStr">
        <is>
          <t>GIFT Nifty</t>
        </is>
      </c>
      <c r="C60" s="26" t="inlineStr">
        <is>
          <t>NIFTY futures traded at NSE IX (GIFT City) outside Indian hours — early indication of the next day's opening gap</t>
        </is>
      </c>
      <c r="D60" s="27" t="inlineStr">
        <is>
          <t>Source to be verified (NSE IX data / authorized data vendor); not confirmed in Groww</t>
        </is>
      </c>
    </row>
    <row r="61" ht="22.5" customHeight="1" s="21">
      <c r="A61" s="28" t="n"/>
      <c r="B61" s="29" t="inlineStr">
        <is>
          <t>US Market Indices (S&amp;P 500 / Nasdaq)</t>
        </is>
      </c>
      <c r="C61" s="30" t="inlineStr">
        <is>
          <t>Overnight performance of US markets — affects Indian opening, especially IT stocks (INFY, TCS)</t>
        </is>
      </c>
      <c r="D61" s="31" t="inlineStr">
        <is>
          <t>Source to be verified (e.g. Twelve Data / Alpha Vantage free tier); not available in Groww</t>
        </is>
      </c>
    </row>
    <row r="62" ht="22.5" customHeight="1" s="21">
      <c r="A62" s="28" t="n"/>
      <c r="B62" s="29" t="inlineStr">
        <is>
          <t>Crude Oil (Brent)</t>
        </is>
      </c>
      <c r="C62" s="30" t="inlineStr">
        <is>
          <t>Global crude price and daily change — proxy for geopolitical risk; affects inflation, OMCs, paints, aviation and overall market sentiment</t>
        </is>
      </c>
      <c r="D62" s="31" t="inlineStr">
        <is>
          <t>Source to be verified (MCX via broker API, or global data API); check Groww commodity coverage</t>
        </is>
      </c>
    </row>
    <row r="63" ht="22.5" customHeight="1" s="21">
      <c r="A63" s="28" t="n"/>
      <c r="B63" s="29" t="inlineStr">
        <is>
          <t>USD/INR</t>
        </is>
      </c>
      <c r="C63" s="30" t="inlineStr">
        <is>
          <t>Rupee exchange rate and daily change — weak rupee often coincides with FII outflows; affects IT exporters</t>
        </is>
      </c>
      <c r="D63" s="31" t="inlineStr">
        <is>
          <t>Source to be verified (NSE currency derivatives via broker API, or RBI reference rate at rbi.org.in)</t>
        </is>
      </c>
    </row>
    <row r="64" ht="22.5" customHeight="1" s="21">
      <c r="A64" s="32" t="n"/>
      <c r="B64" s="33" t="inlineStr">
        <is>
          <t>US 10-Year Bond Yield</t>
        </is>
      </c>
      <c r="C64" s="34" t="inlineStr">
        <is>
          <t>Yield on US government bonds — rising yields typically pressure emerging-market equities and FII flows</t>
        </is>
      </c>
      <c r="D64" s="35" t="inlineStr">
        <is>
          <t>Source to be verified (global data API, e.g. Twelve Data / FRED)</t>
        </is>
      </c>
    </row>
    <row r="65" ht="22.5" customHeight="1" s="21">
      <c r="A65" s="24" t="inlineStr">
        <is>
          <t>Data Quality</t>
        </is>
      </c>
      <c r="B65" s="25" t="inlineStr">
        <is>
          <t>Data Freshness / Staleness</t>
        </is>
      </c>
      <c r="C65" s="26" t="inlineStr">
        <is>
          <t>Time since last data update vs expected update interval — stale data blocks signal generation (result = NO TRADE)</t>
        </is>
      </c>
      <c r="D65" s="27" t="inlineStr">
        <is>
          <t>Calculated: provider timestamp vs ingestion timestamp (system log)</t>
        </is>
      </c>
    </row>
    <row r="66" ht="22.5" customHeight="1" s="21">
      <c r="A66" s="28" t="n"/>
      <c r="B66" s="29" t="inlineStr">
        <is>
          <t>Missing / Duplicate Candle Check</t>
        </is>
      </c>
      <c r="C66" s="30" t="inlineStr">
        <is>
          <t>Detects gaps in the expected candle sequence (respecting market hours and holidays) and repeated candles for the same timestamp</t>
        </is>
      </c>
      <c r="D66" s="31" t="inlineStr">
        <is>
          <t>Calculated during ingestion (system validation)</t>
        </is>
      </c>
    </row>
    <row r="67" ht="22.5" customHeight="1" s="21">
      <c r="A67" s="28" t="n"/>
      <c r="B67" s="29" t="inlineStr">
        <is>
          <t>Invalid OHLC Check</t>
        </is>
      </c>
      <c r="C67" s="30" t="inlineStr">
        <is>
          <t>Flags candles where High &lt; max(Open, Close), Low &gt; min(Open, Close), or values are zero/negative — missing values stay missing, never replaced with zero</t>
        </is>
      </c>
      <c r="D67" s="31" t="inlineStr">
        <is>
          <t>Calculated during ingestion (system validation)</t>
        </is>
      </c>
    </row>
    <row r="68" ht="22.5" customHeight="1" s="21">
      <c r="A68" s="32" t="n"/>
      <c r="B68" s="33" t="inlineStr">
        <is>
          <t>Instrument &amp; Expiry Mapping Check</t>
        </is>
      </c>
      <c r="C68" s="34" t="inlineStr">
        <is>
          <t>Confirms each contract's symbol, expiry, strike and lot size match the latest provider instrument list — never mixes different expiries in one series</t>
        </is>
      </c>
      <c r="D68" s="35" t="inlineStr">
        <is>
          <t>Validated against Groww Trade API instruments list (refreshed daily)</t>
        </is>
      </c>
    </row>
    <row r="69" ht="22.5" customHeight="1" s="21"/>
    <row r="70" ht="22.5" customHeight="1" s="21"/>
    <row r="71" ht="22.5" customHeight="1" s="21"/>
    <row r="72" ht="22.5" customHeight="1" s="21"/>
    <row r="73" ht="22.5" customHeight="1" s="21"/>
    <row r="74" ht="22.5" customHeight="1" s="21"/>
    <row r="75" ht="22.5" customHeight="1" s="21"/>
    <row r="76" ht="22.5" customHeight="1" s="21"/>
    <row r="77" ht="22.5" customHeight="1" s="21"/>
    <row r="78" ht="22.5" customHeight="1" s="21"/>
    <row r="79" ht="22.5" customHeight="1" s="21"/>
    <row r="80" ht="22.5" customHeight="1" s="21"/>
    <row r="81" ht="22.5" customHeight="1" s="21"/>
    <row r="82" ht="22.5" customHeight="1" s="21"/>
  </sheetData>
  <mergeCells count="15">
    <mergeCell ref="A30:A34"/>
    <mergeCell ref="A21:A25"/>
    <mergeCell ref="A57:A59"/>
    <mergeCell ref="A26:A29"/>
    <mergeCell ref="A8:A14"/>
    <mergeCell ref="A2:A7"/>
    <mergeCell ref="A60:A64"/>
    <mergeCell ref="A47:A51"/>
    <mergeCell ref="A65:A68"/>
    <mergeCell ref="A43:A46"/>
    <mergeCell ref="A52:A56"/>
    <mergeCell ref="A15:A17"/>
    <mergeCell ref="A39:A42"/>
    <mergeCell ref="A35:A38"/>
    <mergeCell ref="A18:A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328125" defaultRowHeight="14.25" zeroHeight="0" outlineLevelRow="0"/>
  <cols>
    <col width="11" customWidth="1" style="20" min="1" max="1"/>
    <col width="12" customWidth="1" style="20" min="2" max="2"/>
    <col width="11" customWidth="1" style="20" min="3" max="3"/>
    <col width="12" customWidth="1" style="20" min="4" max="4"/>
    <col width="11" customWidth="1" style="20" min="5" max="5"/>
    <col width="12" customWidth="1" style="20" min="6" max="6"/>
    <col width="13" customWidth="1" style="20" min="7" max="7"/>
    <col width="10" customWidth="1" style="20" min="8" max="8"/>
    <col width="14" customWidth="1" style="20" min="9" max="9"/>
    <col width="12" customWidth="1" style="20" min="10" max="10"/>
    <col width="13" customWidth="1" style="20" min="11" max="11"/>
    <col width="8" customWidth="1" style="20" min="12" max="12"/>
    <col width="9" customWidth="1" style="20" min="13" max="13"/>
    <col width="8" customWidth="1" style="20" min="14" max="14"/>
    <col width="7" customWidth="1" style="20" min="15" max="15"/>
    <col width="10" customWidth="1" style="20" min="16" max="16"/>
    <col width="11" customWidth="1" style="20" min="17" max="17"/>
    <col width="10" customWidth="1" style="20" min="18" max="19"/>
    <col width="9" customWidth="1" style="20" min="20" max="20"/>
    <col width="12" customWidth="1" style="20" min="21" max="21"/>
    <col width="13" customWidth="1" style="20" min="22" max="22"/>
    <col width="16" customWidth="1" style="20" min="23" max="23"/>
  </cols>
  <sheetData>
    <row r="1" ht="14.25" customHeight="1" s="21">
      <c r="A1" s="36" t="inlineStr">
        <is>
          <t>Legend: Yellow cells = fill in daily/per trade. White formula cells auto-calculate. One example row (row 3) shown below — delete before use.</t>
        </is>
      </c>
    </row>
    <row r="2" ht="27.75" customHeight="1" s="21">
      <c r="A2" s="37" t="inlineStr">
        <is>
          <t>Date</t>
        </is>
      </c>
      <c r="B2" s="37" t="inlineStr">
        <is>
          <t>Symbol</t>
        </is>
      </c>
      <c r="C2" s="37" t="inlineStr">
        <is>
          <t>Spot Price</t>
        </is>
      </c>
      <c r="D2" s="37" t="inlineStr">
        <is>
          <t>Futures Price</t>
        </is>
      </c>
      <c r="E2" s="37" t="inlineStr">
        <is>
          <t>Basis (auto)</t>
        </is>
      </c>
      <c r="F2" s="37" t="inlineStr">
        <is>
          <t>OI (Today)</t>
        </is>
      </c>
      <c r="G2" s="37" t="inlineStr">
        <is>
          <t>OI (Prev Day)</t>
        </is>
      </c>
      <c r="H2" s="37" t="inlineStr">
        <is>
          <t>Δ OI (auto)</t>
        </is>
      </c>
      <c r="I2" s="37" t="inlineStr">
        <is>
          <t>OI Signal (auto)</t>
        </is>
      </c>
      <c r="J2" s="37" t="inlineStr">
        <is>
          <t>Volume</t>
        </is>
      </c>
      <c r="K2" s="37" t="inlineStr">
        <is>
          <t>Avg Volume (20D)</t>
        </is>
      </c>
      <c r="L2" s="37" t="inlineStr">
        <is>
          <t>RSI</t>
        </is>
      </c>
      <c r="M2" s="37" t="inlineStr">
        <is>
          <t>ATR (14)</t>
        </is>
      </c>
      <c r="N2" s="37" t="inlineStr">
        <is>
          <t>IV %</t>
        </is>
      </c>
      <c r="O2" s="37" t="inlineStr">
        <is>
          <t>PCR</t>
        </is>
      </c>
      <c r="P2" s="37" t="inlineStr">
        <is>
          <t>India VIX</t>
        </is>
      </c>
      <c r="Q2" s="37" t="inlineStr">
        <is>
          <t>Entry Price</t>
        </is>
      </c>
      <c r="R2" s="37" t="inlineStr">
        <is>
          <t>Stop Loss</t>
        </is>
      </c>
      <c r="S2" s="37" t="inlineStr">
        <is>
          <t>Target</t>
        </is>
      </c>
      <c r="T2" s="37" t="inlineStr">
        <is>
          <t>R:R (auto)</t>
        </is>
      </c>
      <c r="U2" s="37" t="inlineStr">
        <is>
          <t>Capital (₹)</t>
        </is>
      </c>
      <c r="V2" s="37" t="inlineStr">
        <is>
          <t>Risk % per Trade</t>
        </is>
      </c>
      <c r="W2" s="37" t="inlineStr">
        <is>
          <t>Position Size / Lots (auto)</t>
        </is>
      </c>
    </row>
    <row r="3" ht="14.25" customHeight="1" s="21">
      <c r="A3" s="38" t="inlineStr">
        <is>
          <t>2026-08-25</t>
        </is>
      </c>
      <c r="B3" s="38" t="inlineStr">
        <is>
          <t>RELIANCE</t>
        </is>
      </c>
      <c r="C3" s="38" t="n">
        <v>3005.5</v>
      </c>
      <c r="D3" s="38" t="n">
        <v>3015</v>
      </c>
      <c r="E3" s="39">
        <f>D3-C3</f>
        <v/>
      </c>
      <c r="F3" s="38" t="n">
        <v>6250000</v>
      </c>
      <c r="G3" s="38" t="n">
        <v>6000000</v>
      </c>
      <c r="H3" s="39">
        <f>F3-G3</f>
        <v/>
      </c>
      <c r="I3" s="39">
        <f>IF(AND(D3&gt;C3,H3&gt;0),"Long Buildup",IF(AND(D3&lt;C3,H3&gt;0),"Short Buildup",IF(AND(D3&gt;C3,H3&lt;0),"Short Covering",IF(AND(D3&lt;C3,H3&lt;0),"Long Unwinding","Flat"))))</f>
        <v/>
      </c>
      <c r="J3" s="38" t="n">
        <v>4500000</v>
      </c>
      <c r="K3" s="38" t="n">
        <v>3900000</v>
      </c>
      <c r="L3" s="38" t="n">
        <v>58.2</v>
      </c>
      <c r="M3" s="38" t="n">
        <v>42</v>
      </c>
      <c r="N3" s="38" t="n">
        <v>24.5</v>
      </c>
      <c r="O3" s="38" t="n">
        <v>0.85</v>
      </c>
      <c r="P3" s="38" t="n">
        <v>13.2</v>
      </c>
      <c r="Q3" s="38" t="n">
        <v>3015</v>
      </c>
      <c r="R3" s="38" t="n">
        <v>2985</v>
      </c>
      <c r="S3" s="38" t="n">
        <v>3075</v>
      </c>
      <c r="T3" s="39">
        <f>IFERROR((S3-Q3)/(Q3-R3),"")</f>
        <v/>
      </c>
      <c r="U3" s="38" t="n">
        <v>500000</v>
      </c>
      <c r="V3" s="38" t="n">
        <v>0.01</v>
      </c>
      <c r="W3" s="39">
        <f>IFERROR((U3*V3)/(Q3-R3),"")</f>
        <v/>
      </c>
    </row>
    <row r="4" ht="14.25" customHeight="1" s="21">
      <c r="A4" s="40" t="n"/>
      <c r="B4" s="40" t="n"/>
      <c r="C4" s="40" t="n"/>
      <c r="D4" s="40" t="n"/>
      <c r="E4" s="39">
        <f>D4-C4</f>
        <v/>
      </c>
      <c r="F4" s="40" t="n"/>
      <c r="G4" s="40" t="n"/>
      <c r="H4" s="39">
        <f>F4-G4</f>
        <v/>
      </c>
      <c r="I4" s="39">
        <f>IF(AND(D4&gt;C4,H4&gt;0),"Long Buildup",IF(AND(D4&lt;C4,H4&gt;0),"Short Buildup",IF(AND(D4&gt;C4,H4&lt;0),"Short Covering",IF(AND(D4&lt;C4,H4&lt;0),"Long Unwinding",""))))</f>
        <v/>
      </c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39">
        <f>IFERROR((S4-Q4)/(Q4-R4),"")</f>
        <v/>
      </c>
      <c r="U4" s="40" t="n"/>
      <c r="V4" s="40" t="n"/>
      <c r="W4" s="39">
        <f>IFERROR((U4*V4)/(Q4-R4),"")</f>
        <v/>
      </c>
    </row>
    <row r="5" ht="14.25" customHeight="1" s="21">
      <c r="A5" s="40" t="n"/>
      <c r="B5" s="40" t="n"/>
      <c r="C5" s="40" t="n"/>
      <c r="D5" s="40" t="n"/>
      <c r="E5" s="39">
        <f>D5-C5</f>
        <v/>
      </c>
      <c r="F5" s="40" t="n"/>
      <c r="G5" s="40" t="n"/>
      <c r="H5" s="39">
        <f>F5-G5</f>
        <v/>
      </c>
      <c r="I5" s="39">
        <f>IF(AND(D5&gt;C5,H5&gt;0),"Long Buildup",IF(AND(D5&lt;C5,H5&gt;0),"Short Buildup",IF(AND(D5&gt;C5,H5&lt;0),"Short Covering",IF(AND(D5&lt;C5,H5&lt;0),"Long Unwinding",""))))</f>
        <v/>
      </c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39">
        <f>IFERROR((S5-Q5)/(Q5-R5),"")</f>
        <v/>
      </c>
      <c r="U5" s="40" t="n"/>
      <c r="V5" s="40" t="n"/>
      <c r="W5" s="39">
        <f>IFERROR((U5*V5)/(Q5-R5),"")</f>
        <v/>
      </c>
    </row>
    <row r="6" ht="14.25" customHeight="1" s="21">
      <c r="A6" s="40" t="n"/>
      <c r="B6" s="40" t="n"/>
      <c r="C6" s="40" t="n"/>
      <c r="D6" s="40" t="n"/>
      <c r="E6" s="39">
        <f>D6-C6</f>
        <v/>
      </c>
      <c r="F6" s="40" t="n"/>
      <c r="G6" s="40" t="n"/>
      <c r="H6" s="39">
        <f>F6-G6</f>
        <v/>
      </c>
      <c r="I6" s="39">
        <f>IF(AND(D6&gt;C6,H6&gt;0),"Long Buildup",IF(AND(D6&lt;C6,H6&gt;0),"Short Buildup",IF(AND(D6&gt;C6,H6&lt;0),"Short Covering",IF(AND(D6&lt;C6,H6&lt;0),"Long Unwinding",""))))</f>
        <v/>
      </c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39">
        <f>IFERROR((S6-Q6)/(Q6-R6),"")</f>
        <v/>
      </c>
      <c r="U6" s="40" t="n"/>
      <c r="V6" s="40" t="n"/>
      <c r="W6" s="39">
        <f>IFERROR((U6*V6)/(Q6-R6),"")</f>
        <v/>
      </c>
    </row>
    <row r="7" ht="14.25" customHeight="1" s="21">
      <c r="A7" s="40" t="n"/>
      <c r="B7" s="40" t="n"/>
      <c r="C7" s="40" t="n"/>
      <c r="D7" s="40" t="n"/>
      <c r="E7" s="39">
        <f>D7-C7</f>
        <v/>
      </c>
      <c r="F7" s="40" t="n"/>
      <c r="G7" s="40" t="n"/>
      <c r="H7" s="39">
        <f>F7-G7</f>
        <v/>
      </c>
      <c r="I7" s="39">
        <f>IF(AND(D7&gt;C7,H7&gt;0),"Long Buildup",IF(AND(D7&lt;C7,H7&gt;0),"Short Buildup",IF(AND(D7&gt;C7,H7&lt;0),"Short Covering",IF(AND(D7&lt;C7,H7&lt;0),"Long Unwinding",""))))</f>
        <v/>
      </c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39">
        <f>IFERROR((S7-Q7)/(Q7-R7),"")</f>
        <v/>
      </c>
      <c r="U7" s="40" t="n"/>
      <c r="V7" s="40" t="n"/>
      <c r="W7" s="39">
        <f>IFERROR((U7*V7)/(Q7-R7),"")</f>
        <v/>
      </c>
    </row>
    <row r="8" ht="14.25" customHeight="1" s="21">
      <c r="A8" s="40" t="n"/>
      <c r="B8" s="40" t="n"/>
      <c r="C8" s="40" t="n"/>
      <c r="D8" s="40" t="n"/>
      <c r="E8" s="39">
        <f>D8-C8</f>
        <v/>
      </c>
      <c r="F8" s="40" t="n"/>
      <c r="G8" s="40" t="n"/>
      <c r="H8" s="39">
        <f>F8-G8</f>
        <v/>
      </c>
      <c r="I8" s="39">
        <f>IF(AND(D8&gt;C8,H8&gt;0),"Long Buildup",IF(AND(D8&lt;C8,H8&gt;0),"Short Buildup",IF(AND(D8&gt;C8,H8&lt;0),"Short Covering",IF(AND(D8&lt;C8,H8&lt;0),"Long Unwinding",""))))</f>
        <v/>
      </c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39">
        <f>IFERROR((S8-Q8)/(Q8-R8),"")</f>
        <v/>
      </c>
      <c r="U8" s="40" t="n"/>
      <c r="V8" s="40" t="n"/>
      <c r="W8" s="39">
        <f>IFERROR((U8*V8)/(Q8-R8),"")</f>
        <v/>
      </c>
    </row>
    <row r="9" ht="14.25" customHeight="1" s="21">
      <c r="A9" s="40" t="n"/>
      <c r="B9" s="40" t="n"/>
      <c r="C9" s="40" t="n"/>
      <c r="D9" s="40" t="n"/>
      <c r="E9" s="39">
        <f>D9-C9</f>
        <v/>
      </c>
      <c r="F9" s="40" t="n"/>
      <c r="G9" s="40" t="n"/>
      <c r="H9" s="39">
        <f>F9-G9</f>
        <v/>
      </c>
      <c r="I9" s="39">
        <f>IF(AND(D9&gt;C9,H9&gt;0),"Long Buildup",IF(AND(D9&lt;C9,H9&gt;0),"Short Buildup",IF(AND(D9&gt;C9,H9&lt;0),"Short Covering",IF(AND(D9&lt;C9,H9&lt;0),"Long Unwinding",""))))</f>
        <v/>
      </c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39">
        <f>IFERROR((S9-Q9)/(Q9-R9),"")</f>
        <v/>
      </c>
      <c r="U9" s="40" t="n"/>
      <c r="V9" s="40" t="n"/>
      <c r="W9" s="39">
        <f>IFERROR((U9*V9)/(Q9-R9),"")</f>
        <v/>
      </c>
    </row>
    <row r="10" ht="14.25" customHeight="1" s="21">
      <c r="A10" s="40" t="n"/>
      <c r="B10" s="40" t="n"/>
      <c r="C10" s="40" t="n"/>
      <c r="D10" s="40" t="n"/>
      <c r="E10" s="39">
        <f>D10-C10</f>
        <v/>
      </c>
      <c r="F10" s="40" t="n"/>
      <c r="G10" s="40" t="n"/>
      <c r="H10" s="39">
        <f>F10-G10</f>
        <v/>
      </c>
      <c r="I10" s="39">
        <f>IF(AND(D10&gt;C10,H10&gt;0),"Long Buildup",IF(AND(D10&lt;C10,H10&gt;0),"Short Buildup",IF(AND(D10&gt;C10,H10&lt;0),"Short Covering",IF(AND(D10&lt;C10,H10&lt;0),"Long Unwinding",""))))</f>
        <v/>
      </c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39">
        <f>IFERROR((S10-Q10)/(Q10-R10),"")</f>
        <v/>
      </c>
      <c r="U10" s="40" t="n"/>
      <c r="V10" s="40" t="n"/>
      <c r="W10" s="39">
        <f>IFERROR((U10*V10)/(Q10-R10),"")</f>
        <v/>
      </c>
    </row>
    <row r="11" ht="14.25" customHeight="1" s="21">
      <c r="A11" s="40" t="n"/>
      <c r="B11" s="40" t="n"/>
      <c r="C11" s="40" t="n"/>
      <c r="D11" s="40" t="n"/>
      <c r="E11" s="39">
        <f>D11-C11</f>
        <v/>
      </c>
      <c r="F11" s="40" t="n"/>
      <c r="G11" s="40" t="n"/>
      <c r="H11" s="39">
        <f>F11-G11</f>
        <v/>
      </c>
      <c r="I11" s="39">
        <f>IF(AND(D11&gt;C11,H11&gt;0),"Long Buildup",IF(AND(D11&lt;C11,H11&gt;0),"Short Buildup",IF(AND(D11&gt;C11,H11&lt;0),"Short Covering",IF(AND(D11&lt;C11,H11&lt;0),"Long Unwinding",""))))</f>
        <v/>
      </c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39">
        <f>IFERROR((S11-Q11)/(Q11-R11),"")</f>
        <v/>
      </c>
      <c r="U11" s="40" t="n"/>
      <c r="V11" s="40" t="n"/>
      <c r="W11" s="39">
        <f>IFERROR((U11*V11)/(Q11-R11),"")</f>
        <v/>
      </c>
    </row>
    <row r="12" ht="14.25" customHeight="1" s="21">
      <c r="A12" s="40" t="n"/>
      <c r="B12" s="40" t="n"/>
      <c r="C12" s="40" t="n"/>
      <c r="D12" s="40" t="n"/>
      <c r="E12" s="39">
        <f>D12-C12</f>
        <v/>
      </c>
      <c r="F12" s="40" t="n"/>
      <c r="G12" s="40" t="n"/>
      <c r="H12" s="39">
        <f>F12-G12</f>
        <v/>
      </c>
      <c r="I12" s="39">
        <f>IF(AND(D12&gt;C12,H12&gt;0),"Long Buildup",IF(AND(D12&lt;C12,H12&gt;0),"Short Buildup",IF(AND(D12&gt;C12,H12&lt;0),"Short Covering",IF(AND(D12&lt;C12,H12&lt;0),"Long Unwinding",""))))</f>
        <v/>
      </c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39">
        <f>IFERROR((S12-Q12)/(Q12-R12),"")</f>
        <v/>
      </c>
      <c r="U12" s="40" t="n"/>
      <c r="V12" s="40" t="n"/>
      <c r="W12" s="39">
        <f>IFERROR((U12*V12)/(Q12-R12),"")</f>
        <v/>
      </c>
    </row>
    <row r="13" ht="14.25" customHeight="1" s="21">
      <c r="A13" s="40" t="n"/>
      <c r="B13" s="40" t="n"/>
      <c r="C13" s="40" t="n"/>
      <c r="D13" s="40" t="n"/>
      <c r="E13" s="39">
        <f>D13-C13</f>
        <v/>
      </c>
      <c r="F13" s="40" t="n"/>
      <c r="G13" s="40" t="n"/>
      <c r="H13" s="39">
        <f>F13-G13</f>
        <v/>
      </c>
      <c r="I13" s="39">
        <f>IF(AND(D13&gt;C13,H13&gt;0),"Long Buildup",IF(AND(D13&lt;C13,H13&gt;0),"Short Buildup",IF(AND(D13&gt;C13,H13&lt;0),"Short Covering",IF(AND(D13&lt;C13,H13&lt;0),"Long Unwinding",""))))</f>
        <v/>
      </c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39">
        <f>IFERROR((S13-Q13)/(Q13-R13),"")</f>
        <v/>
      </c>
      <c r="U13" s="40" t="n"/>
      <c r="V13" s="40" t="n"/>
      <c r="W13" s="39">
        <f>IFERROR((U13*V13)/(Q13-R13),"")</f>
        <v/>
      </c>
    </row>
    <row r="14" ht="14.25" customHeight="1" s="21">
      <c r="A14" s="40" t="n"/>
      <c r="B14" s="40" t="n"/>
      <c r="C14" s="40" t="n"/>
      <c r="D14" s="40" t="n"/>
      <c r="E14" s="39">
        <f>D14-C14</f>
        <v/>
      </c>
      <c r="F14" s="40" t="n"/>
      <c r="G14" s="40" t="n"/>
      <c r="H14" s="39">
        <f>F14-G14</f>
        <v/>
      </c>
      <c r="I14" s="39">
        <f>IF(AND(D14&gt;C14,H14&gt;0),"Long Buildup",IF(AND(D14&lt;C14,H14&gt;0),"Short Buildup",IF(AND(D14&gt;C14,H14&lt;0),"Short Covering",IF(AND(D14&lt;C14,H14&lt;0),"Long Unwinding",""))))</f>
        <v/>
      </c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39">
        <f>IFERROR((S14-Q14)/(Q14-R14),"")</f>
        <v/>
      </c>
      <c r="U14" s="40" t="n"/>
      <c r="V14" s="40" t="n"/>
      <c r="W14" s="39">
        <f>IFERROR((U14*V14)/(Q14-R14),"")</f>
        <v/>
      </c>
    </row>
    <row r="15" ht="14.25" customHeight="1" s="21">
      <c r="A15" s="40" t="n"/>
      <c r="B15" s="40" t="n"/>
      <c r="C15" s="40" t="n"/>
      <c r="D15" s="40" t="n"/>
      <c r="E15" s="39">
        <f>D15-C15</f>
        <v/>
      </c>
      <c r="F15" s="40" t="n"/>
      <c r="G15" s="40" t="n"/>
      <c r="H15" s="39">
        <f>F15-G15</f>
        <v/>
      </c>
      <c r="I15" s="39">
        <f>IF(AND(D15&gt;C15,H15&gt;0),"Long Buildup",IF(AND(D15&lt;C15,H15&gt;0),"Short Buildup",IF(AND(D15&gt;C15,H15&lt;0),"Short Covering",IF(AND(D15&lt;C15,H15&lt;0),"Long Unwinding",""))))</f>
        <v/>
      </c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39">
        <f>IFERROR((S15-Q15)/(Q15-R15),"")</f>
        <v/>
      </c>
      <c r="U15" s="40" t="n"/>
      <c r="V15" s="40" t="n"/>
      <c r="W15" s="39">
        <f>IFERROR((U15*V15)/(Q15-R15),"")</f>
        <v/>
      </c>
    </row>
    <row r="16" ht="14.25" customHeight="1" s="21">
      <c r="A16" s="40" t="n"/>
      <c r="B16" s="40" t="n"/>
      <c r="C16" s="40" t="n"/>
      <c r="D16" s="40" t="n"/>
      <c r="E16" s="39">
        <f>D16-C16</f>
        <v/>
      </c>
      <c r="F16" s="40" t="n"/>
      <c r="G16" s="40" t="n"/>
      <c r="H16" s="39">
        <f>F16-G16</f>
        <v/>
      </c>
      <c r="I16" s="39">
        <f>IF(AND(D16&gt;C16,H16&gt;0),"Long Buildup",IF(AND(D16&lt;C16,H16&gt;0),"Short Buildup",IF(AND(D16&gt;C16,H16&lt;0),"Short Covering",IF(AND(D16&lt;C16,H16&lt;0),"Long Unwinding",""))))</f>
        <v/>
      </c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39">
        <f>IFERROR((S16-Q16)/(Q16-R16),"")</f>
        <v/>
      </c>
      <c r="U16" s="40" t="n"/>
      <c r="V16" s="40" t="n"/>
      <c r="W16" s="39">
        <f>IFERROR((U16*V16)/(Q16-R16),"")</f>
        <v/>
      </c>
    </row>
    <row r="17" ht="14.25" customHeight="1" s="21">
      <c r="A17" s="40" t="n"/>
      <c r="B17" s="40" t="n"/>
      <c r="C17" s="40" t="n"/>
      <c r="D17" s="40" t="n"/>
      <c r="E17" s="39">
        <f>D17-C17</f>
        <v/>
      </c>
      <c r="F17" s="40" t="n"/>
      <c r="G17" s="40" t="n"/>
      <c r="H17" s="39">
        <f>F17-G17</f>
        <v/>
      </c>
      <c r="I17" s="39">
        <f>IF(AND(D17&gt;C17,H17&gt;0),"Long Buildup",IF(AND(D17&lt;C17,H17&gt;0),"Short Buildup",IF(AND(D17&gt;C17,H17&lt;0),"Short Covering",IF(AND(D17&lt;C17,H17&lt;0),"Long Unwinding",""))))</f>
        <v/>
      </c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39">
        <f>IFERROR((S17-Q17)/(Q17-R17),"")</f>
        <v/>
      </c>
      <c r="U17" s="40" t="n"/>
      <c r="V17" s="40" t="n"/>
      <c r="W17" s="39">
        <f>IFERROR((U17*V17)/(Q17-R17),"")</f>
        <v/>
      </c>
    </row>
    <row r="18" ht="14.25" customHeight="1" s="21">
      <c r="A18" s="40" t="n"/>
      <c r="B18" s="40" t="n"/>
      <c r="C18" s="40" t="n"/>
      <c r="D18" s="40" t="n"/>
      <c r="E18" s="39">
        <f>D18-C18</f>
        <v/>
      </c>
      <c r="F18" s="40" t="n"/>
      <c r="G18" s="40" t="n"/>
      <c r="H18" s="39">
        <f>F18-G18</f>
        <v/>
      </c>
      <c r="I18" s="39">
        <f>IF(AND(D18&gt;C18,H18&gt;0),"Long Buildup",IF(AND(D18&lt;C18,H18&gt;0),"Short Buildup",IF(AND(D18&gt;C18,H18&lt;0),"Short Covering",IF(AND(D18&lt;C18,H18&lt;0),"Long Unwinding",""))))</f>
        <v/>
      </c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39">
        <f>IFERROR((S18-Q18)/(Q18-R18),"")</f>
        <v/>
      </c>
      <c r="U18" s="40" t="n"/>
      <c r="V18" s="40" t="n"/>
      <c r="W18" s="39">
        <f>IFERROR((U18*V18)/(Q18-R18),"")</f>
        <v/>
      </c>
    </row>
    <row r="19" ht="14.25" customHeight="1" s="21">
      <c r="A19" s="40" t="n"/>
      <c r="B19" s="40" t="n"/>
      <c r="C19" s="40" t="n"/>
      <c r="D19" s="40" t="n"/>
      <c r="E19" s="39">
        <f>D19-C19</f>
        <v/>
      </c>
      <c r="F19" s="40" t="n"/>
      <c r="G19" s="40" t="n"/>
      <c r="H19" s="39">
        <f>F19-G19</f>
        <v/>
      </c>
      <c r="I19" s="39">
        <f>IF(AND(D19&gt;C19,H19&gt;0),"Long Buildup",IF(AND(D19&lt;C19,H19&gt;0),"Short Buildup",IF(AND(D19&gt;C19,H19&lt;0),"Short Covering",IF(AND(D19&lt;C19,H19&lt;0),"Long Unwinding",""))))</f>
        <v/>
      </c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39">
        <f>IFERROR((S19-Q19)/(Q19-R19),"")</f>
        <v/>
      </c>
      <c r="U19" s="40" t="n"/>
      <c r="V19" s="40" t="n"/>
      <c r="W19" s="39">
        <f>IFERROR((U19*V19)/(Q19-R19),"")</f>
        <v/>
      </c>
    </row>
    <row r="20" ht="14.25" customHeight="1" s="21">
      <c r="A20" s="40" t="n"/>
      <c r="B20" s="40" t="n"/>
      <c r="C20" s="40" t="n"/>
      <c r="D20" s="40" t="n"/>
      <c r="E20" s="39">
        <f>D20-C20</f>
        <v/>
      </c>
      <c r="F20" s="40" t="n"/>
      <c r="G20" s="40" t="n"/>
      <c r="H20" s="39">
        <f>F20-G20</f>
        <v/>
      </c>
      <c r="I20" s="39">
        <f>IF(AND(D20&gt;C20,H20&gt;0),"Long Buildup",IF(AND(D20&lt;C20,H20&gt;0),"Short Buildup",IF(AND(D20&gt;C20,H20&lt;0),"Short Covering",IF(AND(D20&lt;C20,H20&lt;0),"Long Unwinding",""))))</f>
        <v/>
      </c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39">
        <f>IFERROR((S20-Q20)/(Q20-R20),"")</f>
        <v/>
      </c>
      <c r="U20" s="40" t="n"/>
      <c r="V20" s="40" t="n"/>
      <c r="W20" s="39">
        <f>IFERROR((U20*V20)/(Q20-R20),"")</f>
        <v/>
      </c>
    </row>
    <row r="21" ht="14.25" customHeight="1" s="21">
      <c r="A21" s="40" t="n"/>
      <c r="B21" s="40" t="n"/>
      <c r="C21" s="40" t="n"/>
      <c r="D21" s="40" t="n"/>
      <c r="E21" s="39">
        <f>D21-C21</f>
        <v/>
      </c>
      <c r="F21" s="40" t="n"/>
      <c r="G21" s="40" t="n"/>
      <c r="H21" s="39">
        <f>F21-G21</f>
        <v/>
      </c>
      <c r="I21" s="39">
        <f>IF(AND(D21&gt;C21,H21&gt;0),"Long Buildup",IF(AND(D21&lt;C21,H21&gt;0),"Short Buildup",IF(AND(D21&gt;C21,H21&lt;0),"Short Covering",IF(AND(D21&lt;C21,H21&lt;0),"Long Unwinding",""))))</f>
        <v/>
      </c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39">
        <f>IFERROR((S21-Q21)/(Q21-R21),"")</f>
        <v/>
      </c>
      <c r="U21" s="40" t="n"/>
      <c r="V21" s="40" t="n"/>
      <c r="W21" s="39">
        <f>IFERROR((U21*V21)/(Q21-R21),"")</f>
        <v/>
      </c>
    </row>
    <row r="22" ht="14.25" customHeight="1" s="21">
      <c r="A22" s="40" t="n"/>
      <c r="B22" s="40" t="n"/>
      <c r="C22" s="40" t="n"/>
      <c r="D22" s="40" t="n"/>
      <c r="E22" s="39">
        <f>D22-C22</f>
        <v/>
      </c>
      <c r="F22" s="40" t="n"/>
      <c r="G22" s="40" t="n"/>
      <c r="H22" s="39">
        <f>F22-G22</f>
        <v/>
      </c>
      <c r="I22" s="39">
        <f>IF(AND(D22&gt;C22,H22&gt;0),"Long Buildup",IF(AND(D22&lt;C22,H22&gt;0),"Short Buildup",IF(AND(D22&gt;C22,H22&lt;0),"Short Covering",IF(AND(D22&lt;C22,H22&lt;0),"Long Unwinding",""))))</f>
        <v/>
      </c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39">
        <f>IFERROR((S22-Q22)/(Q22-R22),"")</f>
        <v/>
      </c>
      <c r="U22" s="40" t="n"/>
      <c r="V22" s="40" t="n"/>
      <c r="W22" s="39">
        <f>IFERROR((U22*V22)/(Q22-R22),"")</f>
        <v/>
      </c>
    </row>
    <row r="23" ht="14.25" customHeight="1" s="21">
      <c r="A23" s="40" t="n"/>
      <c r="B23" s="40" t="n"/>
      <c r="C23" s="40" t="n"/>
      <c r="D23" s="40" t="n"/>
      <c r="E23" s="39">
        <f>D23-C23</f>
        <v/>
      </c>
      <c r="F23" s="40" t="n"/>
      <c r="G23" s="40" t="n"/>
      <c r="H23" s="39">
        <f>F23-G23</f>
        <v/>
      </c>
      <c r="I23" s="39">
        <f>IF(AND(D23&gt;C23,H23&gt;0),"Long Buildup",IF(AND(D23&lt;C23,H23&gt;0),"Short Buildup",IF(AND(D23&gt;C23,H23&lt;0),"Short Covering",IF(AND(D23&lt;C23,H23&lt;0),"Long Unwinding",""))))</f>
        <v/>
      </c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39">
        <f>IFERROR((S23-Q23)/(Q23-R23),"")</f>
        <v/>
      </c>
      <c r="U23" s="40" t="n"/>
      <c r="V23" s="40" t="n"/>
      <c r="W23" s="39">
        <f>IFERROR((U23*V23)/(Q23-R23),"")</f>
        <v/>
      </c>
    </row>
    <row r="24" ht="14.25" customHeight="1" s="21">
      <c r="A24" s="40" t="n"/>
      <c r="B24" s="40" t="n"/>
      <c r="C24" s="40" t="n"/>
      <c r="D24" s="40" t="n"/>
      <c r="E24" s="39">
        <f>D24-C24</f>
        <v/>
      </c>
      <c r="F24" s="40" t="n"/>
      <c r="G24" s="40" t="n"/>
      <c r="H24" s="39">
        <f>F24-G24</f>
        <v/>
      </c>
      <c r="I24" s="39">
        <f>IF(AND(D24&gt;C24,H24&gt;0),"Long Buildup",IF(AND(D24&lt;C24,H24&gt;0),"Short Buildup",IF(AND(D24&gt;C24,H24&lt;0),"Short Covering",IF(AND(D24&lt;C24,H24&lt;0),"Long Unwinding",""))))</f>
        <v/>
      </c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39">
        <f>IFERROR((S24-Q24)/(Q24-R24),"")</f>
        <v/>
      </c>
      <c r="U24" s="40" t="n"/>
      <c r="V24" s="40" t="n"/>
      <c r="W24" s="39">
        <f>IFERROR((U24*V24)/(Q24-R24),"")</f>
        <v/>
      </c>
    </row>
    <row r="25" ht="14.25" customHeight="1" s="21">
      <c r="A25" s="40" t="n"/>
      <c r="B25" s="40" t="n"/>
      <c r="C25" s="40" t="n"/>
      <c r="D25" s="40" t="n"/>
      <c r="E25" s="39">
        <f>D25-C25</f>
        <v/>
      </c>
      <c r="F25" s="40" t="n"/>
      <c r="G25" s="40" t="n"/>
      <c r="H25" s="39">
        <f>F25-G25</f>
        <v/>
      </c>
      <c r="I25" s="39">
        <f>IF(AND(D25&gt;C25,H25&gt;0),"Long Buildup",IF(AND(D25&lt;C25,H25&gt;0),"Short Buildup",IF(AND(D25&gt;C25,H25&lt;0),"Short Covering",IF(AND(D25&lt;C25,H25&lt;0),"Long Unwinding",""))))</f>
        <v/>
      </c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39">
        <f>IFERROR((S25-Q25)/(Q25-R25),"")</f>
        <v/>
      </c>
      <c r="U25" s="40" t="n"/>
      <c r="V25" s="40" t="n"/>
      <c r="W25" s="39">
        <f>IFERROR((U25*V25)/(Q25-R25),"")</f>
        <v/>
      </c>
    </row>
    <row r="26" ht="14.25" customHeight="1" s="21">
      <c r="A26" s="40" t="n"/>
      <c r="B26" s="40" t="n"/>
      <c r="C26" s="40" t="n"/>
      <c r="D26" s="40" t="n"/>
      <c r="E26" s="39">
        <f>D26-C26</f>
        <v/>
      </c>
      <c r="F26" s="40" t="n"/>
      <c r="G26" s="40" t="n"/>
      <c r="H26" s="39">
        <f>F26-G26</f>
        <v/>
      </c>
      <c r="I26" s="39">
        <f>IF(AND(D26&gt;C26,H26&gt;0),"Long Buildup",IF(AND(D26&lt;C26,H26&gt;0),"Short Buildup",IF(AND(D26&gt;C26,H26&lt;0),"Short Covering",IF(AND(D26&lt;C26,H26&lt;0),"Long Unwinding",""))))</f>
        <v/>
      </c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39">
        <f>IFERROR((S26-Q26)/(Q26-R26),"")</f>
        <v/>
      </c>
      <c r="U26" s="40" t="n"/>
      <c r="V26" s="40" t="n"/>
      <c r="W26" s="39">
        <f>IFERROR((U26*V26)/(Q26-R26),"")</f>
        <v/>
      </c>
    </row>
    <row r="27" ht="14.25" customHeight="1" s="21">
      <c r="A27" s="40" t="n"/>
      <c r="B27" s="40" t="n"/>
      <c r="C27" s="40" t="n"/>
      <c r="D27" s="40" t="n"/>
      <c r="E27" s="39">
        <f>D27-C27</f>
        <v/>
      </c>
      <c r="F27" s="40" t="n"/>
      <c r="G27" s="40" t="n"/>
      <c r="H27" s="39">
        <f>F27-G27</f>
        <v/>
      </c>
      <c r="I27" s="39">
        <f>IF(AND(D27&gt;C27,H27&gt;0),"Long Buildup",IF(AND(D27&lt;C27,H27&gt;0),"Short Buildup",IF(AND(D27&gt;C27,H27&lt;0),"Short Covering",IF(AND(D27&lt;C27,H27&lt;0),"Long Unwinding",""))))</f>
        <v/>
      </c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39">
        <f>IFERROR((S27-Q27)/(Q27-R27),"")</f>
        <v/>
      </c>
      <c r="U27" s="40" t="n"/>
      <c r="V27" s="40" t="n"/>
      <c r="W27" s="39">
        <f>IFERROR((U27*V27)/(Q27-R27),"")</f>
        <v/>
      </c>
    </row>
    <row r="28" ht="14.25" customHeight="1" s="21">
      <c r="A28" s="40" t="n"/>
      <c r="B28" s="40" t="n"/>
      <c r="C28" s="40" t="n"/>
      <c r="D28" s="40" t="n"/>
      <c r="E28" s="39">
        <f>D28-C28</f>
        <v/>
      </c>
      <c r="F28" s="40" t="n"/>
      <c r="G28" s="40" t="n"/>
      <c r="H28" s="39">
        <f>F28-G28</f>
        <v/>
      </c>
      <c r="I28" s="39">
        <f>IF(AND(D28&gt;C28,H28&gt;0),"Long Buildup",IF(AND(D28&lt;C28,H28&gt;0),"Short Buildup",IF(AND(D28&gt;C28,H28&lt;0),"Short Covering",IF(AND(D28&lt;C28,H28&lt;0),"Long Unwinding",""))))</f>
        <v/>
      </c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39">
        <f>IFERROR((S28-Q28)/(Q28-R28),"")</f>
        <v/>
      </c>
      <c r="U28" s="40" t="n"/>
      <c r="V28" s="40" t="n"/>
      <c r="W28" s="39">
        <f>IFERROR((U28*V28)/(Q28-R28),"")</f>
        <v/>
      </c>
    </row>
    <row r="29" ht="14.25" customHeight="1" s="21">
      <c r="A29" s="40" t="n"/>
      <c r="B29" s="40" t="n"/>
      <c r="C29" s="40" t="n"/>
      <c r="D29" s="40" t="n"/>
      <c r="E29" s="39">
        <f>D29-C29</f>
        <v/>
      </c>
      <c r="F29" s="40" t="n"/>
      <c r="G29" s="40" t="n"/>
      <c r="H29" s="39">
        <f>F29-G29</f>
        <v/>
      </c>
      <c r="I29" s="39">
        <f>IF(AND(D29&gt;C29,H29&gt;0),"Long Buildup",IF(AND(D29&lt;C29,H29&gt;0),"Short Buildup",IF(AND(D29&gt;C29,H29&lt;0),"Short Covering",IF(AND(D29&lt;C29,H29&lt;0),"Long Unwinding",""))))</f>
        <v/>
      </c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39">
        <f>IFERROR((S29-Q29)/(Q29-R29),"")</f>
        <v/>
      </c>
      <c r="U29" s="40" t="n"/>
      <c r="V29" s="40" t="n"/>
      <c r="W29" s="39">
        <f>IFERROR((U29*V29)/(Q29-R29),"")</f>
        <v/>
      </c>
    </row>
    <row r="30" ht="14.25" customHeight="1" s="21">
      <c r="A30" s="40" t="n"/>
      <c r="B30" s="40" t="n"/>
      <c r="C30" s="40" t="n"/>
      <c r="D30" s="40" t="n"/>
      <c r="E30" s="39">
        <f>D30-C30</f>
        <v/>
      </c>
      <c r="F30" s="40" t="n"/>
      <c r="G30" s="40" t="n"/>
      <c r="H30" s="39">
        <f>F30-G30</f>
        <v/>
      </c>
      <c r="I30" s="39">
        <f>IF(AND(D30&gt;C30,H30&gt;0),"Long Buildup",IF(AND(D30&lt;C30,H30&gt;0),"Short Buildup",IF(AND(D30&gt;C30,H30&lt;0),"Short Covering",IF(AND(D30&lt;C30,H30&lt;0),"Long Unwinding",""))))</f>
        <v/>
      </c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39">
        <f>IFERROR((S30-Q30)/(Q30-R30),"")</f>
        <v/>
      </c>
      <c r="U30" s="40" t="n"/>
      <c r="V30" s="40" t="n"/>
      <c r="W30" s="39">
        <f>IFERROR((U30*V30)/(Q30-R30),"")</f>
        <v/>
      </c>
    </row>
    <row r="31" ht="14.25" customHeight="1" s="21">
      <c r="A31" s="40" t="n"/>
      <c r="B31" s="40" t="n"/>
      <c r="C31" s="40" t="n"/>
      <c r="D31" s="40" t="n"/>
      <c r="E31" s="39">
        <f>D31-C31</f>
        <v/>
      </c>
      <c r="F31" s="40" t="n"/>
      <c r="G31" s="40" t="n"/>
      <c r="H31" s="39">
        <f>F31-G31</f>
        <v/>
      </c>
      <c r="I31" s="39">
        <f>IF(AND(D31&gt;C31,H31&gt;0),"Long Buildup",IF(AND(D31&lt;C31,H31&gt;0),"Short Buildup",IF(AND(D31&gt;C31,H31&lt;0),"Short Covering",IF(AND(D31&lt;C31,H31&lt;0),"Long Unwinding",""))))</f>
        <v/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39">
        <f>IFERROR((S31-Q31)/(Q31-R31),"")</f>
        <v/>
      </c>
      <c r="U31" s="40" t="n"/>
      <c r="V31" s="40" t="n"/>
      <c r="W31" s="39">
        <f>IFERROR((U31*V31)/(Q31-R31),"")</f>
        <v/>
      </c>
    </row>
    <row r="32" ht="14.25" customHeight="1" s="21">
      <c r="A32" s="40" t="n"/>
      <c r="B32" s="40" t="n"/>
      <c r="C32" s="40" t="n"/>
      <c r="D32" s="40" t="n"/>
      <c r="E32" s="39">
        <f>D32-C32</f>
        <v/>
      </c>
      <c r="F32" s="40" t="n"/>
      <c r="G32" s="40" t="n"/>
      <c r="H32" s="39">
        <f>F32-G32</f>
        <v/>
      </c>
      <c r="I32" s="39">
        <f>IF(AND(D32&gt;C32,H32&gt;0),"Long Buildup",IF(AND(D32&lt;C32,H32&gt;0),"Short Buildup",IF(AND(D32&gt;C32,H32&lt;0),"Short Covering",IF(AND(D32&lt;C32,H32&lt;0),"Long Unwinding",""))))</f>
        <v/>
      </c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39">
        <f>IFERROR((S32-Q32)/(Q32-R32),"")</f>
        <v/>
      </c>
      <c r="U32" s="40" t="n"/>
      <c r="V32" s="40" t="n"/>
      <c r="W32" s="39">
        <f>IFERROR((U32*V32)/(Q32-R32),"")</f>
        <v/>
      </c>
    </row>
    <row r="33" ht="14.25" customHeight="1" s="21">
      <c r="A33" s="40" t="n"/>
      <c r="B33" s="40" t="n"/>
      <c r="C33" s="40" t="n"/>
      <c r="D33" s="40" t="n"/>
      <c r="E33" s="39">
        <f>D33-C33</f>
        <v/>
      </c>
      <c r="F33" s="40" t="n"/>
      <c r="G33" s="40" t="n"/>
      <c r="H33" s="39">
        <f>F33-G33</f>
        <v/>
      </c>
      <c r="I33" s="39">
        <f>IF(AND(D33&gt;C33,H33&gt;0),"Long Buildup",IF(AND(D33&lt;C33,H33&gt;0),"Short Buildup",IF(AND(D33&gt;C33,H33&lt;0),"Short Covering",IF(AND(D33&lt;C33,H33&lt;0),"Long Unwinding",""))))</f>
        <v/>
      </c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39">
        <f>IFERROR((S33-Q33)/(Q33-R33),"")</f>
        <v/>
      </c>
      <c r="U33" s="40" t="n"/>
      <c r="V33" s="40" t="n"/>
      <c r="W33" s="39">
        <f>IFERROR((U33*V33)/(Q33-R33),"")</f>
        <v/>
      </c>
    </row>
  </sheetData>
  <mergeCells count="1">
    <mergeCell ref="A1:U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2026-08-25T08:44:18Z</dcterms:created>
  <dcterms:modified xmlns:dcterms="http://purl.org/dc/terms/" xmlns:xsi="http://www.w3.org/2001/XMLSchema-instance" xsi:type="dcterms:W3CDTF">2026-10-28T10:28:20Z</dcterms:modified>
  <cp:lastModifiedBy>Rahul Singh</cp:lastModifiedBy>
  <cp:revision>0</cp:revision>
</cp:coreProperties>
</file>